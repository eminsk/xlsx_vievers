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 и Сводка" sheetId="1" state="visible" r:id="rId1"/>
    <sheet name="Форекс (5 дней)" sheetId="2" state="visible" r:id="rId2"/>
    <sheet name="Криптовалюта (24_7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0%"/>
  </numFmts>
  <fonts count="1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A5568"/>
      <sz val="10"/>
    </font>
    <font>
      <name val="Segoe UI"/>
      <b val="1"/>
      <color rgb="00FFFFFF"/>
      <sz val="11"/>
    </font>
    <font>
      <name val="Segoe UI"/>
      <b val="1"/>
      <color rgb="002D3748"/>
      <sz val="9"/>
    </font>
    <font>
      <name val="Segoe UI"/>
      <sz val="9"/>
    </font>
    <font>
      <name val="Segoe UI"/>
      <b val="1"/>
      <color rgb="002B6CB0"/>
      <sz val="9"/>
    </font>
    <font>
      <name val="Segoe UI"/>
      <b val="1"/>
      <color rgb="0022543D"/>
      <sz val="9"/>
    </font>
    <font>
      <name val="Segoe UI"/>
      <b val="1"/>
      <color rgb="0044337A"/>
      <sz val="9"/>
    </font>
    <font>
      <name val="Segoe UI"/>
      <b val="1"/>
      <color rgb="00FFFFFF"/>
      <sz val="15"/>
    </font>
    <font>
      <name val="Segoe UI"/>
      <b val="1"/>
      <color rgb="00FFFFFF"/>
      <sz val="10"/>
    </font>
    <font>
      <name val="Segoe UI"/>
      <b val="1"/>
      <color rgb="001A202C"/>
      <sz val="10"/>
    </font>
    <font>
      <name val="Segoe UI"/>
      <i val="1"/>
      <color rgb="00718096"/>
      <sz val="9"/>
    </font>
    <font>
      <name val="Segoe UI"/>
      <b val="1"/>
      <color rgb="0022543D"/>
      <sz val="10"/>
    </font>
    <font>
      <name val="Segoe UI"/>
      <b val="1"/>
      <color rgb="0044337A"/>
      <sz val="10"/>
    </font>
    <font>
      <name val="Segoe UI"/>
      <b val="1"/>
      <color rgb="00FFFFFF"/>
      <sz val="9"/>
    </font>
    <font>
      <name val="Segoe UI"/>
      <b val="1"/>
      <color rgb="001B365D"/>
      <sz val="9"/>
    </font>
    <font>
      <name val="Segoe UI"/>
      <b val="1"/>
      <color rgb="001A202C"/>
      <sz val="9"/>
    </font>
  </fonts>
  <fills count="12">
    <fill>
      <patternFill/>
    </fill>
    <fill>
      <patternFill patternType="gray125"/>
    </fill>
    <fill>
      <patternFill patternType="solid">
        <fgColor rgb="002B6CB0"/>
        <bgColor rgb="002B6CB0"/>
      </patternFill>
    </fill>
    <fill>
      <patternFill patternType="solid">
        <fgColor rgb="00EDF2F7"/>
        <bgColor rgb="00EDF2F7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  <fill>
      <patternFill patternType="solid">
        <fgColor rgb="0044337A"/>
        <bgColor rgb="0044337A"/>
      </patternFill>
    </fill>
    <fill>
      <patternFill patternType="solid">
        <fgColor rgb="00FAF5FF"/>
        <bgColor rgb="00FAF5FF"/>
      </patternFill>
    </fill>
    <fill>
      <patternFill patternType="solid">
        <fgColor rgb="001B365D"/>
        <bgColor rgb="001B365D"/>
      </patternFill>
    </fill>
    <fill>
      <patternFill patternType="solid">
        <fgColor rgb="0022543D"/>
        <bgColor rgb="0022543D"/>
      </patternFill>
    </fill>
    <fill>
      <patternFill patternType="solid">
        <fgColor rgb="00F0FFF4"/>
        <bgColor rgb="00F0FFF4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4A5568"/>
      </top>
      <bottom style="double">
        <color rgb="004A5568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9" fillId="9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indent="1"/>
    </xf>
    <xf numFmtId="0" fontId="10" fillId="1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0" fillId="0" borderId="1" pivotButton="0" quotePrefix="0" xfId="0"/>
    <xf numFmtId="164" fontId="11" fillId="4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vertical="center" indent="1"/>
    </xf>
    <xf numFmtId="49" fontId="13" fillId="4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 indent="1"/>
    </xf>
    <xf numFmtId="49" fontId="14" fillId="4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164" fontId="14" fillId="4" borderId="1" applyAlignment="1" pivotButton="0" quotePrefix="0" xfId="0">
      <alignment horizontal="right" vertical="center"/>
    </xf>
    <xf numFmtId="3" fontId="11" fillId="4" borderId="1" applyAlignment="1" pivotButton="0" quotePrefix="0" xfId="0">
      <alignment horizontal="right" vertical="center"/>
    </xf>
    <xf numFmtId="2" fontId="11" fillId="4" borderId="1" applyAlignment="1" pivotButton="0" quotePrefix="0" xfId="0">
      <alignment horizontal="right" vertical="center"/>
    </xf>
    <xf numFmtId="2" fontId="13" fillId="4" borderId="1" applyAlignment="1" pivotButton="0" quotePrefix="0" xfId="0">
      <alignment horizontal="right" vertical="center"/>
    </xf>
    <xf numFmtId="2" fontId="14" fillId="4" borderId="1" applyAlignment="1" pivotButton="0" quotePrefix="0" xfId="0">
      <alignment horizontal="right" vertical="center"/>
    </xf>
    <xf numFmtId="165" fontId="13" fillId="4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0" fontId="3" fillId="9" borderId="0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0" fontId="17" fillId="6" borderId="2" applyAlignment="1" pivotButton="0" quotePrefix="0" xfId="0">
      <alignment horizontal="left" vertical="center" indent="1"/>
    </xf>
    <xf numFmtId="0" fontId="17" fillId="6" borderId="2" applyAlignment="1" pivotButton="0" quotePrefix="0" xfId="0">
      <alignment horizontal="center" vertical="center"/>
    </xf>
    <xf numFmtId="164" fontId="17" fillId="6" borderId="2" applyAlignment="1" pivotButton="0" quotePrefix="0" xfId="0">
      <alignment horizontal="right" vertical="center"/>
    </xf>
    <xf numFmtId="2" fontId="17" fillId="6" borderId="2" applyAlignment="1" pivotButton="0" quotePrefix="0" xfId="0">
      <alignment horizontal="center" vertical="center"/>
    </xf>
    <xf numFmtId="165" fontId="17" fillId="6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right" vertical="center"/>
    </xf>
    <xf numFmtId="0" fontId="0" fillId="0" borderId="2" pivotButton="0" quotePrefix="0" xfId="0"/>
    <xf numFmtId="164" fontId="4" fillId="6" borderId="2" applyAlignment="1" pivotButton="0" quotePrefix="0" xfId="0">
      <alignment horizontal="right" vertical="center"/>
    </xf>
    <xf numFmtId="2" fontId="4" fillId="6" borderId="2" applyAlignment="1" pivotButton="0" quotePrefix="0" xfId="0">
      <alignment horizontal="center" vertical="center"/>
    </xf>
    <xf numFmtId="3" fontId="4" fillId="6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right" vertical="center"/>
    </xf>
    <xf numFmtId="164" fontId="6" fillId="6" borderId="2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indent="1"/>
    </xf>
    <xf numFmtId="0" fontId="8" fillId="8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center" vertical="center"/>
    </xf>
    <xf numFmtId="3" fontId="4" fillId="8" borderId="2" applyAlignment="1" pivotButton="0" quotePrefix="0" xfId="0">
      <alignment horizontal="center" vertical="center"/>
    </xf>
    <xf numFmtId="164" fontId="7" fillId="8" borderId="2" applyAlignment="1" pivotButton="0" quotePrefix="0" xfId="0">
      <alignment horizontal="right" vertical="center"/>
    </xf>
    <xf numFmtId="164" fontId="8" fillId="8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6" customWidth="1" min="3" max="3"/>
    <col width="13" customWidth="1" min="4" max="4"/>
    <col width="17" customWidth="1" min="5" max="5"/>
    <col width="17" customWidth="1" min="6" max="6"/>
    <col width="12" customWidth="1" min="7" max="7"/>
    <col width="9" customWidth="1" min="8" max="8"/>
    <col width="16" customWidth="1" min="9" max="9"/>
    <col width="13" customWidth="1" min="10" max="10"/>
    <col width="17" customWidth="1" min="11" max="11"/>
    <col width="17" customWidth="1" min="12" max="12"/>
    <col width="12" customWidth="1" min="13" max="13"/>
    <col width="19" customWidth="1" min="14" max="14"/>
  </cols>
  <sheetData>
    <row r="1" ht="36" customHeight="1">
      <c r="A1" s="1" t="inlineStr">
        <is>
          <t>ФИНАНСОВЫЙ ПЛАН И КАЛЬКУЛЯТОР ДОХОДНОСТИ НА 1 ГОД</t>
        </is>
      </c>
    </row>
    <row r="2" ht="22" customHeight="1">
      <c r="A2" s="2" t="inlineStr">
        <is>
          <t>Сравнение стратегий: Форекс (5 торговых дней в неделю / 258 дней в году) vs Криптовалюта (24/7 / 365 дней в году)</t>
        </is>
      </c>
    </row>
    <row r="4" ht="26" customHeight="1">
      <c r="A4" s="3" t="inlineStr">
        <is>
          <t>[ ПАРАМЕТРЫ СТРАТЕГИИ ]</t>
        </is>
      </c>
      <c r="F4" s="4" t="inlineStr">
        <is>
          <t>[ ИТОГИ: ФОРЕКС (5 ДНЕЙ / 258 ДНЕЙ) ]</t>
        </is>
      </c>
      <c r="K4" s="5" t="inlineStr">
        <is>
          <t>[ ИТОГИ: КРИПТОВАЛЮТА (24/7 / 365 ДНЕЙ) ]</t>
        </is>
      </c>
    </row>
    <row r="5" ht="22" customHeight="1">
      <c r="A5" s="6" t="inlineStr">
        <is>
          <t>Начальный депозит ($):</t>
        </is>
      </c>
      <c r="B5" s="7" t="n"/>
      <c r="C5" s="8" t="n">
        <v>10</v>
      </c>
      <c r="D5" s="9" t="inlineStr">
        <is>
          <t>Стартовый баланс для расчета</t>
        </is>
      </c>
      <c r="F5" s="10" t="inlineStr">
        <is>
          <t>Торговых дней в году:</t>
        </is>
      </c>
      <c r="G5" s="7" t="n"/>
      <c r="H5" s="11" t="inlineStr">
        <is>
          <t>258 дней (12 мес.)</t>
        </is>
      </c>
      <c r="I5" s="7" t="n"/>
      <c r="K5" s="12" t="inlineStr">
        <is>
          <t>Торговых дней в году:</t>
        </is>
      </c>
      <c r="L5" s="7" t="n"/>
      <c r="M5" s="13" t="inlineStr">
        <is>
          <t>365 дней (12 мес.)</t>
        </is>
      </c>
      <c r="N5" s="7" t="n"/>
    </row>
    <row r="6" ht="22" customHeight="1">
      <c r="A6" s="6" t="inlineStr">
        <is>
          <t>Шаг баланса на 0.01 лота ($):</t>
        </is>
      </c>
      <c r="B6" s="7" t="n"/>
      <c r="C6" s="8" t="n">
        <v>100</v>
      </c>
      <c r="D6" s="9" t="inlineStr">
        <is>
          <t>До $100 → 0.01, до $200 → 0.02 и т.д.</t>
        </is>
      </c>
      <c r="F6" s="10" t="inlineStr">
        <is>
          <t>Начальный депозит:</t>
        </is>
      </c>
      <c r="G6" s="7" t="n"/>
      <c r="H6" s="14">
        <f>$C$5</f>
        <v/>
      </c>
      <c r="I6" s="7" t="n"/>
      <c r="K6" s="12" t="inlineStr">
        <is>
          <t>Начальный депозит:</t>
        </is>
      </c>
      <c r="L6" s="7" t="n"/>
      <c r="M6" s="15">
        <f>$C$5</f>
        <v/>
      </c>
      <c r="N6" s="7" t="n"/>
    </row>
    <row r="7" ht="22" customHeight="1">
      <c r="A7" s="6" t="inlineStr">
        <is>
          <t>Дневная цель (пунктов / pips):</t>
        </is>
      </c>
      <c r="B7" s="7" t="n"/>
      <c r="C7" s="16" t="n">
        <v>60</v>
      </c>
      <c r="D7" s="9" t="inlineStr">
        <is>
          <t>Целевая прибыль в пунктах за день</t>
        </is>
      </c>
      <c r="F7" s="10" t="inlineStr">
        <is>
          <t>Итоговый баланс (1 год):</t>
        </is>
      </c>
      <c r="G7" s="7" t="n"/>
      <c r="H7" s="14">
        <f>F27</f>
        <v/>
      </c>
      <c r="I7" s="7" t="n"/>
      <c r="K7" s="12" t="inlineStr">
        <is>
          <t>Итоговый баланс (1 год):</t>
        </is>
      </c>
      <c r="L7" s="7" t="n"/>
      <c r="M7" s="15">
        <f>L27</f>
        <v/>
      </c>
      <c r="N7" s="7" t="n"/>
    </row>
    <row r="8" ht="22" customHeight="1">
      <c r="A8" s="6" t="inlineStr">
        <is>
          <t>Стоимость 1 пункта (при 1.0 лоте $):</t>
        </is>
      </c>
      <c r="B8" s="7" t="n"/>
      <c r="C8" s="8" t="n">
        <v>10</v>
      </c>
      <c r="D8" s="9" t="inlineStr">
        <is>
          <t>Стандарт для EURUSD ($10 за пункт)</t>
        </is>
      </c>
      <c r="F8" s="10" t="inlineStr">
        <is>
          <t>Чистая прибыль за год:</t>
        </is>
      </c>
      <c r="G8" s="7" t="n"/>
      <c r="H8" s="14">
        <f>E27</f>
        <v/>
      </c>
      <c r="I8" s="7" t="n"/>
      <c r="K8" s="12" t="inlineStr">
        <is>
          <t>Чистая прибыль за год:</t>
        </is>
      </c>
      <c r="L8" s="7" t="n"/>
      <c r="M8" s="15">
        <f>K27</f>
        <v/>
      </c>
      <c r="N8" s="7" t="n"/>
    </row>
    <row r="9" ht="22" customHeight="1">
      <c r="A9" s="6" t="inlineStr">
        <is>
          <t>Максимальный размер лота (Max Lot):</t>
        </is>
      </c>
      <c r="B9" s="7" t="n"/>
      <c r="C9" s="17" t="n">
        <v>100</v>
      </c>
      <c r="D9" s="9" t="inlineStr">
        <is>
          <t>Лимит брокера на 1 сделку (100.00 лотов)</t>
        </is>
      </c>
      <c r="F9" s="10" t="inlineStr">
        <is>
          <t>Пиковый лот (достигнутый):</t>
        </is>
      </c>
      <c r="G9" s="7" t="n"/>
      <c r="H9" s="18">
        <f>D27</f>
        <v/>
      </c>
      <c r="I9" s="7" t="n"/>
      <c r="K9" s="12" t="inlineStr">
        <is>
          <t>Пиковый лот (достигнутый):</t>
        </is>
      </c>
      <c r="L9" s="7" t="n"/>
      <c r="M9" s="19">
        <f>J27</f>
        <v/>
      </c>
      <c r="N9" s="7" t="n"/>
    </row>
    <row r="10" ht="22" customHeight="1">
      <c r="A10" s="6" t="inlineStr">
        <is>
          <t>Базовая прибыль за день (0.01 лота $):</t>
        </is>
      </c>
      <c r="B10" s="7" t="n"/>
      <c r="C10" s="8">
        <f>$C$7*$C$8*0.01</f>
        <v/>
      </c>
      <c r="D10" s="9" t="inlineStr">
        <is>
          <t>Прибыль при минимальном лоте ($6.00)</t>
        </is>
      </c>
      <c r="F10" s="10" t="inlineStr">
        <is>
          <t>Общая доходность (%):</t>
        </is>
      </c>
      <c r="G10" s="7" t="n"/>
      <c r="H10" s="20">
        <f>G27</f>
        <v/>
      </c>
      <c r="I10" s="7" t="n"/>
      <c r="K10" s="12" t="inlineStr">
        <is>
          <t>Общая доходность (%):</t>
        </is>
      </c>
      <c r="L10" s="7" t="n"/>
      <c r="M10" s="21">
        <f>M27</f>
        <v/>
      </c>
      <c r="N10" s="7" t="n"/>
    </row>
    <row r="12" ht="28" customHeight="1">
      <c r="A12" s="22" t="inlineStr">
        <is>
          <t>[ СВОДНАЯ СРАВНИТЕЛЬНАЯ ТАБЛИЦА ПО МЕСЯЦАМ (12 МЕСЯЦЕВ) ]</t>
        </is>
      </c>
    </row>
    <row r="13" ht="20" customHeight="1">
      <c r="A13" s="23" t="inlineStr">
        <is>
          <t>Месяц</t>
        </is>
      </c>
      <c r="B13" s="24" t="inlineStr">
        <is>
          <t>ФОРЕКС (5 ДНЕЙ В НЕДЕЛЮ)</t>
        </is>
      </c>
      <c r="H13" s="5" t="inlineStr">
        <is>
          <t>КРИПТОВАЛЮТА (24/7 - 7 ДНЕЙ В НЕДЕЛЮ)</t>
        </is>
      </c>
      <c r="N13" s="25" t="inlineStr">
        <is>
          <t>Разница
(Крипто - Форекс)</t>
        </is>
      </c>
    </row>
    <row r="14" ht="24" customHeight="1">
      <c r="A14" s="7" t="n"/>
      <c r="B14" s="26" t="inlineStr">
        <is>
          <t>Дней</t>
        </is>
      </c>
      <c r="C14" s="26" t="inlineStr">
        <is>
          <t>Старт ($)</t>
        </is>
      </c>
      <c r="D14" s="26" t="inlineStr">
        <is>
          <t>Лот (макс)</t>
        </is>
      </c>
      <c r="E14" s="26" t="inlineStr">
        <is>
          <t>Прибыль ($)</t>
        </is>
      </c>
      <c r="F14" s="26" t="inlineStr">
        <is>
          <t>Итог ($)</t>
        </is>
      </c>
      <c r="G14" s="26" t="inlineStr">
        <is>
          <t>Рост (%)</t>
        </is>
      </c>
      <c r="H14" s="26" t="inlineStr">
        <is>
          <t>Дней</t>
        </is>
      </c>
      <c r="I14" s="26" t="inlineStr">
        <is>
          <t>Старт ($)</t>
        </is>
      </c>
      <c r="J14" s="26" t="inlineStr">
        <is>
          <t>Лот (макс)</t>
        </is>
      </c>
      <c r="K14" s="26" t="inlineStr">
        <is>
          <t>Прибыль ($)</t>
        </is>
      </c>
      <c r="L14" s="26" t="inlineStr">
        <is>
          <t>Итог ($)</t>
        </is>
      </c>
      <c r="M14" s="26" t="inlineStr">
        <is>
          <t>Рост (%)</t>
        </is>
      </c>
      <c r="N14" s="7" t="n"/>
    </row>
    <row r="15" ht="20" customHeight="1">
      <c r="A15" s="27" t="inlineStr">
        <is>
          <t>1. Январь</t>
        </is>
      </c>
      <c r="B15" s="28" t="n">
        <v>22</v>
      </c>
      <c r="C15" s="29">
        <f>'Форекс (5 дней)'!D6</f>
        <v/>
      </c>
      <c r="D15" s="30">
        <f>'Форекс (5 дней)'!E28</f>
        <v/>
      </c>
      <c r="E15" s="29">
        <f>'Форекс (5 дней)'!G28</f>
        <v/>
      </c>
      <c r="F15" s="29">
        <f>'Форекс (5 дней)'!H28</f>
        <v/>
      </c>
      <c r="G15" s="31">
        <f>(F15-C15)/C15</f>
        <v/>
      </c>
      <c r="H15" s="28" t="n">
        <v>31</v>
      </c>
      <c r="I15" s="29">
        <f>'Криптовалюта (24_7)'!D6</f>
        <v/>
      </c>
      <c r="J15" s="30">
        <f>'Криптовалюта (24_7)'!E37</f>
        <v/>
      </c>
      <c r="K15" s="29">
        <f>'Криптовалюта (24_7)'!G37</f>
        <v/>
      </c>
      <c r="L15" s="29">
        <f>'Криптовалюта (24_7)'!H37</f>
        <v/>
      </c>
      <c r="M15" s="31">
        <f>(L15-I15)/I15</f>
        <v/>
      </c>
      <c r="N15" s="29">
        <f>K15-E15</f>
        <v/>
      </c>
    </row>
    <row r="16" ht="20" customHeight="1">
      <c r="A16" s="32" t="inlineStr">
        <is>
          <t>2. Февраль</t>
        </is>
      </c>
      <c r="B16" s="33" t="n">
        <v>20</v>
      </c>
      <c r="C16" s="34">
        <f>'Форекс (5 дней)'!D32</f>
        <v/>
      </c>
      <c r="D16" s="35">
        <f>'Форекс (5 дней)'!E52</f>
        <v/>
      </c>
      <c r="E16" s="34">
        <f>'Форекс (5 дней)'!G52</f>
        <v/>
      </c>
      <c r="F16" s="34">
        <f>'Форекс (5 дней)'!H52</f>
        <v/>
      </c>
      <c r="G16" s="36">
        <f>(F16-C16)/C16</f>
        <v/>
      </c>
      <c r="H16" s="33" t="n">
        <v>28</v>
      </c>
      <c r="I16" s="34">
        <f>'Криптовалюта (24_7)'!D41</f>
        <v/>
      </c>
      <c r="J16" s="35">
        <f>'Криптовалюта (24_7)'!E69</f>
        <v/>
      </c>
      <c r="K16" s="34">
        <f>'Криптовалюта (24_7)'!G69</f>
        <v/>
      </c>
      <c r="L16" s="34">
        <f>'Криптовалюта (24_7)'!H69</f>
        <v/>
      </c>
      <c r="M16" s="36">
        <f>(L16-I16)/I16</f>
        <v/>
      </c>
      <c r="N16" s="34">
        <f>K16-E16</f>
        <v/>
      </c>
    </row>
    <row r="17" ht="20" customHeight="1">
      <c r="A17" s="27" t="inlineStr">
        <is>
          <t>3. Март</t>
        </is>
      </c>
      <c r="B17" s="28" t="n">
        <v>22</v>
      </c>
      <c r="C17" s="29">
        <f>'Форекс (5 дней)'!D56</f>
        <v/>
      </c>
      <c r="D17" s="30">
        <f>'Форекс (5 дней)'!E78</f>
        <v/>
      </c>
      <c r="E17" s="29">
        <f>'Форекс (5 дней)'!G78</f>
        <v/>
      </c>
      <c r="F17" s="29">
        <f>'Форекс (5 дней)'!H78</f>
        <v/>
      </c>
      <c r="G17" s="31">
        <f>(F17-C17)/C17</f>
        <v/>
      </c>
      <c r="H17" s="28" t="n">
        <v>31</v>
      </c>
      <c r="I17" s="29">
        <f>'Криптовалюта (24_7)'!D73</f>
        <v/>
      </c>
      <c r="J17" s="30">
        <f>'Криптовалюта (24_7)'!E104</f>
        <v/>
      </c>
      <c r="K17" s="29">
        <f>'Криптовалюта (24_7)'!G104</f>
        <v/>
      </c>
      <c r="L17" s="29">
        <f>'Криптовалюта (24_7)'!H104</f>
        <v/>
      </c>
      <c r="M17" s="31">
        <f>(L17-I17)/I17</f>
        <v/>
      </c>
      <c r="N17" s="29">
        <f>K17-E17</f>
        <v/>
      </c>
    </row>
    <row r="18" ht="20" customHeight="1">
      <c r="A18" s="32" t="inlineStr">
        <is>
          <t>4. Апрель</t>
        </is>
      </c>
      <c r="B18" s="33" t="n">
        <v>21</v>
      </c>
      <c r="C18" s="34">
        <f>'Форекс (5 дней)'!D82</f>
        <v/>
      </c>
      <c r="D18" s="35">
        <f>'Форекс (5 дней)'!E103</f>
        <v/>
      </c>
      <c r="E18" s="34">
        <f>'Форекс (5 дней)'!G103</f>
        <v/>
      </c>
      <c r="F18" s="34">
        <f>'Форекс (5 дней)'!H103</f>
        <v/>
      </c>
      <c r="G18" s="36">
        <f>(F18-C18)/C18</f>
        <v/>
      </c>
      <c r="H18" s="33" t="n">
        <v>30</v>
      </c>
      <c r="I18" s="34">
        <f>'Криптовалюта (24_7)'!D108</f>
        <v/>
      </c>
      <c r="J18" s="35">
        <f>'Криптовалюта (24_7)'!E138</f>
        <v/>
      </c>
      <c r="K18" s="34">
        <f>'Криптовалюта (24_7)'!G138</f>
        <v/>
      </c>
      <c r="L18" s="34">
        <f>'Криптовалюта (24_7)'!H138</f>
        <v/>
      </c>
      <c r="M18" s="36">
        <f>(L18-I18)/I18</f>
        <v/>
      </c>
      <c r="N18" s="34">
        <f>K18-E18</f>
        <v/>
      </c>
    </row>
    <row r="19" ht="20" customHeight="1">
      <c r="A19" s="27" t="inlineStr">
        <is>
          <t>5. Май</t>
        </is>
      </c>
      <c r="B19" s="28" t="n">
        <v>22</v>
      </c>
      <c r="C19" s="29">
        <f>'Форекс (5 дней)'!D107</f>
        <v/>
      </c>
      <c r="D19" s="30">
        <f>'Форекс (5 дней)'!E129</f>
        <v/>
      </c>
      <c r="E19" s="29">
        <f>'Форекс (5 дней)'!G129</f>
        <v/>
      </c>
      <c r="F19" s="29">
        <f>'Форекс (5 дней)'!H129</f>
        <v/>
      </c>
      <c r="G19" s="31">
        <f>(F19-C19)/C19</f>
        <v/>
      </c>
      <c r="H19" s="28" t="n">
        <v>31</v>
      </c>
      <c r="I19" s="29">
        <f>'Криптовалюта (24_7)'!D142</f>
        <v/>
      </c>
      <c r="J19" s="30">
        <f>'Криптовалюта (24_7)'!E173</f>
        <v/>
      </c>
      <c r="K19" s="29">
        <f>'Криптовалюта (24_7)'!G173</f>
        <v/>
      </c>
      <c r="L19" s="29">
        <f>'Криптовалюта (24_7)'!H173</f>
        <v/>
      </c>
      <c r="M19" s="31">
        <f>(L19-I19)/I19</f>
        <v/>
      </c>
      <c r="N19" s="29">
        <f>K19-E19</f>
        <v/>
      </c>
    </row>
    <row r="20" ht="20" customHeight="1">
      <c r="A20" s="32" t="inlineStr">
        <is>
          <t>6. Июнь</t>
        </is>
      </c>
      <c r="B20" s="33" t="n">
        <v>21</v>
      </c>
      <c r="C20" s="34">
        <f>'Форекс (5 дней)'!D133</f>
        <v/>
      </c>
      <c r="D20" s="35">
        <f>'Форекс (5 дней)'!E154</f>
        <v/>
      </c>
      <c r="E20" s="34">
        <f>'Форекс (5 дней)'!G154</f>
        <v/>
      </c>
      <c r="F20" s="34">
        <f>'Форекс (5 дней)'!H154</f>
        <v/>
      </c>
      <c r="G20" s="36">
        <f>(F20-C20)/C20</f>
        <v/>
      </c>
      <c r="H20" s="33" t="n">
        <v>30</v>
      </c>
      <c r="I20" s="34">
        <f>'Криптовалюта (24_7)'!D177</f>
        <v/>
      </c>
      <c r="J20" s="35">
        <f>'Криптовалюта (24_7)'!E207</f>
        <v/>
      </c>
      <c r="K20" s="34">
        <f>'Криптовалюта (24_7)'!G207</f>
        <v/>
      </c>
      <c r="L20" s="34">
        <f>'Криптовалюта (24_7)'!H207</f>
        <v/>
      </c>
      <c r="M20" s="36">
        <f>(L20-I20)/I20</f>
        <v/>
      </c>
      <c r="N20" s="34">
        <f>K20-E20</f>
        <v/>
      </c>
    </row>
    <row r="21" ht="20" customHeight="1">
      <c r="A21" s="27" t="inlineStr">
        <is>
          <t>7. Июль</t>
        </is>
      </c>
      <c r="B21" s="28" t="n">
        <v>22</v>
      </c>
      <c r="C21" s="29">
        <f>'Форекс (5 дней)'!D158</f>
        <v/>
      </c>
      <c r="D21" s="30">
        <f>'Форекс (5 дней)'!E180</f>
        <v/>
      </c>
      <c r="E21" s="29">
        <f>'Форекс (5 дней)'!G180</f>
        <v/>
      </c>
      <c r="F21" s="29">
        <f>'Форекс (5 дней)'!H180</f>
        <v/>
      </c>
      <c r="G21" s="31">
        <f>(F21-C21)/C21</f>
        <v/>
      </c>
      <c r="H21" s="28" t="n">
        <v>31</v>
      </c>
      <c r="I21" s="29">
        <f>'Криптовалюта (24_7)'!D211</f>
        <v/>
      </c>
      <c r="J21" s="30">
        <f>'Криптовалюта (24_7)'!E242</f>
        <v/>
      </c>
      <c r="K21" s="29">
        <f>'Криптовалюта (24_7)'!G242</f>
        <v/>
      </c>
      <c r="L21" s="29">
        <f>'Криптовалюта (24_7)'!H242</f>
        <v/>
      </c>
      <c r="M21" s="31">
        <f>(L21-I21)/I21</f>
        <v/>
      </c>
      <c r="N21" s="29">
        <f>K21-E21</f>
        <v/>
      </c>
    </row>
    <row r="22" ht="20" customHeight="1">
      <c r="A22" s="32" t="inlineStr">
        <is>
          <t>8. Август</t>
        </is>
      </c>
      <c r="B22" s="33" t="n">
        <v>22</v>
      </c>
      <c r="C22" s="34">
        <f>'Форекс (5 дней)'!D184</f>
        <v/>
      </c>
      <c r="D22" s="35">
        <f>'Форекс (5 дней)'!E206</f>
        <v/>
      </c>
      <c r="E22" s="34">
        <f>'Форекс (5 дней)'!G206</f>
        <v/>
      </c>
      <c r="F22" s="34">
        <f>'Форекс (5 дней)'!H206</f>
        <v/>
      </c>
      <c r="G22" s="36">
        <f>(F22-C22)/C22</f>
        <v/>
      </c>
      <c r="H22" s="33" t="n">
        <v>31</v>
      </c>
      <c r="I22" s="34">
        <f>'Криптовалюта (24_7)'!D246</f>
        <v/>
      </c>
      <c r="J22" s="35">
        <f>'Криптовалюта (24_7)'!E277</f>
        <v/>
      </c>
      <c r="K22" s="34">
        <f>'Криптовалюта (24_7)'!G277</f>
        <v/>
      </c>
      <c r="L22" s="34">
        <f>'Криптовалюта (24_7)'!H277</f>
        <v/>
      </c>
      <c r="M22" s="36">
        <f>(L22-I22)/I22</f>
        <v/>
      </c>
      <c r="N22" s="34">
        <f>K22-E22</f>
        <v/>
      </c>
    </row>
    <row r="23" ht="20" customHeight="1">
      <c r="A23" s="27" t="inlineStr">
        <is>
          <t>9. Сентябрь</t>
        </is>
      </c>
      <c r="B23" s="28" t="n">
        <v>21</v>
      </c>
      <c r="C23" s="29">
        <f>'Форекс (5 дней)'!D210</f>
        <v/>
      </c>
      <c r="D23" s="30">
        <f>'Форекс (5 дней)'!E231</f>
        <v/>
      </c>
      <c r="E23" s="29">
        <f>'Форекс (5 дней)'!G231</f>
        <v/>
      </c>
      <c r="F23" s="29">
        <f>'Форекс (5 дней)'!H231</f>
        <v/>
      </c>
      <c r="G23" s="31">
        <f>(F23-C23)/C23</f>
        <v/>
      </c>
      <c r="H23" s="28" t="n">
        <v>30</v>
      </c>
      <c r="I23" s="29">
        <f>'Криптовалюта (24_7)'!D281</f>
        <v/>
      </c>
      <c r="J23" s="30">
        <f>'Криптовалюта (24_7)'!E311</f>
        <v/>
      </c>
      <c r="K23" s="29">
        <f>'Криптовалюта (24_7)'!G311</f>
        <v/>
      </c>
      <c r="L23" s="29">
        <f>'Криптовалюта (24_7)'!H311</f>
        <v/>
      </c>
      <c r="M23" s="31">
        <f>(L23-I23)/I23</f>
        <v/>
      </c>
      <c r="N23" s="29">
        <f>K23-E23</f>
        <v/>
      </c>
    </row>
    <row r="24" ht="20" customHeight="1">
      <c r="A24" s="32" t="inlineStr">
        <is>
          <t>10. Октябрь</t>
        </is>
      </c>
      <c r="B24" s="33" t="n">
        <v>22</v>
      </c>
      <c r="C24" s="34">
        <f>'Форекс (5 дней)'!D235</f>
        <v/>
      </c>
      <c r="D24" s="35">
        <f>'Форекс (5 дней)'!E257</f>
        <v/>
      </c>
      <c r="E24" s="34">
        <f>'Форекс (5 дней)'!G257</f>
        <v/>
      </c>
      <c r="F24" s="34">
        <f>'Форекс (5 дней)'!H257</f>
        <v/>
      </c>
      <c r="G24" s="36">
        <f>(F24-C24)/C24</f>
        <v/>
      </c>
      <c r="H24" s="33" t="n">
        <v>31</v>
      </c>
      <c r="I24" s="34">
        <f>'Криптовалюта (24_7)'!D315</f>
        <v/>
      </c>
      <c r="J24" s="35">
        <f>'Криптовалюта (24_7)'!E346</f>
        <v/>
      </c>
      <c r="K24" s="34">
        <f>'Криптовалюта (24_7)'!G346</f>
        <v/>
      </c>
      <c r="L24" s="34">
        <f>'Криптовалюта (24_7)'!H346</f>
        <v/>
      </c>
      <c r="M24" s="36">
        <f>(L24-I24)/I24</f>
        <v/>
      </c>
      <c r="N24" s="34">
        <f>K24-E24</f>
        <v/>
      </c>
    </row>
    <row r="25" ht="20" customHeight="1">
      <c r="A25" s="27" t="inlineStr">
        <is>
          <t>11. Ноябрь</t>
        </is>
      </c>
      <c r="B25" s="28" t="n">
        <v>21</v>
      </c>
      <c r="C25" s="29">
        <f>'Форекс (5 дней)'!D261</f>
        <v/>
      </c>
      <c r="D25" s="30">
        <f>'Форекс (5 дней)'!E282</f>
        <v/>
      </c>
      <c r="E25" s="29">
        <f>'Форекс (5 дней)'!G282</f>
        <v/>
      </c>
      <c r="F25" s="29">
        <f>'Форекс (5 дней)'!H282</f>
        <v/>
      </c>
      <c r="G25" s="31">
        <f>(F25-C25)/C25</f>
        <v/>
      </c>
      <c r="H25" s="28" t="n">
        <v>30</v>
      </c>
      <c r="I25" s="29">
        <f>'Криптовалюта (24_7)'!D350</f>
        <v/>
      </c>
      <c r="J25" s="30">
        <f>'Криптовалюта (24_7)'!E380</f>
        <v/>
      </c>
      <c r="K25" s="29">
        <f>'Криптовалюта (24_7)'!G380</f>
        <v/>
      </c>
      <c r="L25" s="29">
        <f>'Криптовалюта (24_7)'!H380</f>
        <v/>
      </c>
      <c r="M25" s="31">
        <f>(L25-I25)/I25</f>
        <v/>
      </c>
      <c r="N25" s="29">
        <f>K25-E25</f>
        <v/>
      </c>
    </row>
    <row r="26" ht="20" customHeight="1">
      <c r="A26" s="32" t="inlineStr">
        <is>
          <t>12. Декабрь</t>
        </is>
      </c>
      <c r="B26" s="33" t="n">
        <v>22</v>
      </c>
      <c r="C26" s="34">
        <f>'Форекс (5 дней)'!D286</f>
        <v/>
      </c>
      <c r="D26" s="35">
        <f>'Форекс (5 дней)'!E308</f>
        <v/>
      </c>
      <c r="E26" s="34">
        <f>'Форекс (5 дней)'!G308</f>
        <v/>
      </c>
      <c r="F26" s="34">
        <f>'Форекс (5 дней)'!H308</f>
        <v/>
      </c>
      <c r="G26" s="36">
        <f>(F26-C26)/C26</f>
        <v/>
      </c>
      <c r="H26" s="33" t="n">
        <v>31</v>
      </c>
      <c r="I26" s="34">
        <f>'Криптовалюта (24_7)'!D384</f>
        <v/>
      </c>
      <c r="J26" s="35">
        <f>'Криптовалюта (24_7)'!E415</f>
        <v/>
      </c>
      <c r="K26" s="34">
        <f>'Криптовалюта (24_7)'!G415</f>
        <v/>
      </c>
      <c r="L26" s="34">
        <f>'Криптовалюта (24_7)'!H415</f>
        <v/>
      </c>
      <c r="M26" s="36">
        <f>(L26-I26)/I26</f>
        <v/>
      </c>
      <c r="N26" s="34">
        <f>K26-E26</f>
        <v/>
      </c>
    </row>
    <row r="27" ht="26" customHeight="1">
      <c r="A27" s="37" t="inlineStr">
        <is>
          <t>ИТОГО ЗА 1 ГОД:</t>
        </is>
      </c>
      <c r="B27" s="38">
        <f>SUM(B15:B26)</f>
        <v/>
      </c>
      <c r="C27" s="39">
        <f>C15</f>
        <v/>
      </c>
      <c r="D27" s="40">
        <f>MAX(D15:D26)</f>
        <v/>
      </c>
      <c r="E27" s="39">
        <f>SUM(E15:E26)</f>
        <v/>
      </c>
      <c r="F27" s="39">
        <f>F26</f>
        <v/>
      </c>
      <c r="G27" s="41">
        <f>(F27-C27)/C27</f>
        <v/>
      </c>
      <c r="H27" s="38">
        <f>SUM(H15:H26)</f>
        <v/>
      </c>
      <c r="I27" s="39">
        <f>I15</f>
        <v/>
      </c>
      <c r="J27" s="40">
        <f>MAX(J15:J26)</f>
        <v/>
      </c>
      <c r="K27" s="39">
        <f>SUM(K15:K26)</f>
        <v/>
      </c>
      <c r="L27" s="39">
        <f>L26</f>
        <v/>
      </c>
      <c r="M27" s="41">
        <f>(L27-I27)/I27</f>
        <v/>
      </c>
      <c r="N27" s="39">
        <f>K27-E27</f>
        <v/>
      </c>
    </row>
  </sheetData>
  <mergeCells count="40">
    <mergeCell ref="F10:G10"/>
    <mergeCell ref="A4:D4"/>
    <mergeCell ref="H10:I10"/>
    <mergeCell ref="K9:L9"/>
    <mergeCell ref="K5:L5"/>
    <mergeCell ref="F6:G6"/>
    <mergeCell ref="M9:N9"/>
    <mergeCell ref="M5:N5"/>
    <mergeCell ref="B13:G13"/>
    <mergeCell ref="A6:B6"/>
    <mergeCell ref="H9:I9"/>
    <mergeCell ref="F7:G7"/>
    <mergeCell ref="A1:N1"/>
    <mergeCell ref="K4:N4"/>
    <mergeCell ref="H6:I6"/>
    <mergeCell ref="A7:B7"/>
    <mergeCell ref="F4:I4"/>
    <mergeCell ref="F5:G5"/>
    <mergeCell ref="M10:N10"/>
    <mergeCell ref="H13:M13"/>
    <mergeCell ref="F8:G8"/>
    <mergeCell ref="M7:N7"/>
    <mergeCell ref="N13:N14"/>
    <mergeCell ref="M6:N6"/>
    <mergeCell ref="K8:L8"/>
    <mergeCell ref="A12:N12"/>
    <mergeCell ref="H7:I7"/>
    <mergeCell ref="A13:A14"/>
    <mergeCell ref="A2:N2"/>
    <mergeCell ref="A5:B5"/>
    <mergeCell ref="K6:L6"/>
    <mergeCell ref="A8:B8"/>
    <mergeCell ref="M8:N8"/>
    <mergeCell ref="F9:G9"/>
    <mergeCell ref="K7:L7"/>
    <mergeCell ref="A10:B10"/>
    <mergeCell ref="K10:L10"/>
    <mergeCell ref="H5:I5"/>
    <mergeCell ref="H8:I8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2" customWidth="1" min="4" max="4"/>
    <col width="16" customWidth="1" min="5" max="5"/>
    <col width="16" customWidth="1" min="6" max="6"/>
    <col width="22" customWidth="1" min="7" max="7"/>
    <col width="22" customWidth="1" min="8" max="8"/>
  </cols>
  <sheetData>
    <row r="1" ht="36" customHeight="1">
      <c r="A1" s="42" t="inlineStr">
        <is>
          <t>ТОРГОВЫЙ ПЛАН НА 1 ГОД: ФОРЕКС (5 ДНЕЙ В НЕДЕЛЮ / 258 ДНЕЙ)</t>
        </is>
      </c>
    </row>
    <row r="2" ht="22" customHeight="1">
      <c r="A2" s="2" t="inlineStr">
        <is>
          <t>Расчёт сложного процента с шагом 0.01 лота на $100 (Max Lot = 100, 60 пунктов в день)</t>
        </is>
      </c>
    </row>
    <row r="4" ht="26" customHeight="1">
      <c r="A4" s="43" t="inlineStr">
        <is>
          <t>МЕСЯЦ 1: ЯНВАРЬ (22 торговых дней)</t>
        </is>
      </c>
    </row>
    <row r="5" ht="24" customHeight="1">
      <c r="A5" s="44" t="inlineStr">
        <is>
          <t>Месяц</t>
        </is>
      </c>
      <c r="B5" s="44" t="inlineStr">
        <is>
          <t>День года</t>
        </is>
      </c>
      <c r="C5" s="44" t="inlineStr">
        <is>
          <t>День месяца</t>
        </is>
      </c>
      <c r="D5" s="44" t="inlineStr">
        <is>
          <t>Начальный депозит ($)</t>
        </is>
      </c>
      <c r="E5" s="44" t="inlineStr">
        <is>
          <t>Размер лота</t>
        </is>
      </c>
      <c r="F5" s="44" t="inlineStr">
        <is>
          <t>Цель (пунктов)</t>
        </is>
      </c>
      <c r="G5" s="44" t="inlineStr">
        <is>
          <t>Прибыль за день ($)</t>
        </is>
      </c>
      <c r="H5" s="44" t="inlineStr">
        <is>
          <t>Итоговый баланс ($)</t>
        </is>
      </c>
    </row>
    <row r="6" ht="20" customHeight="1">
      <c r="A6" s="28" t="inlineStr">
        <is>
          <t>Январь</t>
        </is>
      </c>
      <c r="B6" s="28" t="n">
        <v>1</v>
      </c>
      <c r="C6" s="28" t="n">
        <v>1</v>
      </c>
      <c r="D6" s="29">
        <f>'Дашборд и Сводка'!$C$5</f>
        <v/>
      </c>
      <c r="E6" s="30">
        <f>MIN('Дашборд и Сводка'!$C$9, ROUNDUP(D6/'Дашборд и Сводка'!$C$6, 0)*0.01)</f>
        <v/>
      </c>
      <c r="F6" s="45">
        <f>'Дашборд и Сводка'!$C$7</f>
        <v/>
      </c>
      <c r="G6" s="29">
        <f>E6*F6*'Дашборд и Сводка'!$C$8</f>
        <v/>
      </c>
      <c r="H6" s="29">
        <f>D6+G6</f>
        <v/>
      </c>
    </row>
    <row r="7" ht="20" customHeight="1">
      <c r="A7" s="33" t="inlineStr">
        <is>
          <t>Январь</t>
        </is>
      </c>
      <c r="B7" s="33" t="n">
        <v>2</v>
      </c>
      <c r="C7" s="33" t="n">
        <v>2</v>
      </c>
      <c r="D7" s="34">
        <f>H6</f>
        <v/>
      </c>
      <c r="E7" s="35">
        <f>MIN('Дашборд и Сводка'!$C$9, ROUNDUP(D7/'Дашборд и Сводка'!$C$6, 0)*0.01)</f>
        <v/>
      </c>
      <c r="F7" s="46">
        <f>'Дашборд и Сводка'!$C$7</f>
        <v/>
      </c>
      <c r="G7" s="34">
        <f>E7*F7*'Дашборд и Сводка'!$C$8</f>
        <v/>
      </c>
      <c r="H7" s="34">
        <f>D7+G7</f>
        <v/>
      </c>
    </row>
    <row r="8" ht="20" customHeight="1">
      <c r="A8" s="28" t="inlineStr">
        <is>
          <t>Январь</t>
        </is>
      </c>
      <c r="B8" s="28" t="n">
        <v>3</v>
      </c>
      <c r="C8" s="28" t="n">
        <v>3</v>
      </c>
      <c r="D8" s="29">
        <f>H7</f>
        <v/>
      </c>
      <c r="E8" s="30">
        <f>MIN('Дашборд и Сводка'!$C$9, ROUNDUP(D8/'Дашборд и Сводка'!$C$6, 0)*0.01)</f>
        <v/>
      </c>
      <c r="F8" s="45">
        <f>'Дашборд и Сводка'!$C$7</f>
        <v/>
      </c>
      <c r="G8" s="29">
        <f>E8*F8*'Дашборд и Сводка'!$C$8</f>
        <v/>
      </c>
      <c r="H8" s="29">
        <f>D8+G8</f>
        <v/>
      </c>
    </row>
    <row r="9" ht="20" customHeight="1">
      <c r="A9" s="33" t="inlineStr">
        <is>
          <t>Январь</t>
        </is>
      </c>
      <c r="B9" s="33" t="n">
        <v>4</v>
      </c>
      <c r="C9" s="33" t="n">
        <v>4</v>
      </c>
      <c r="D9" s="34">
        <f>H8</f>
        <v/>
      </c>
      <c r="E9" s="35">
        <f>MIN('Дашборд и Сводка'!$C$9, ROUNDUP(D9/'Дашборд и Сводка'!$C$6, 0)*0.01)</f>
        <v/>
      </c>
      <c r="F9" s="46">
        <f>'Дашборд и Сводка'!$C$7</f>
        <v/>
      </c>
      <c r="G9" s="34">
        <f>E9*F9*'Дашборд и Сводка'!$C$8</f>
        <v/>
      </c>
      <c r="H9" s="34">
        <f>D9+G9</f>
        <v/>
      </c>
    </row>
    <row r="10" ht="20" customHeight="1">
      <c r="A10" s="28" t="inlineStr">
        <is>
          <t>Январь</t>
        </is>
      </c>
      <c r="B10" s="28" t="n">
        <v>5</v>
      </c>
      <c r="C10" s="28" t="n">
        <v>5</v>
      </c>
      <c r="D10" s="29">
        <f>H9</f>
        <v/>
      </c>
      <c r="E10" s="30">
        <f>MIN('Дашборд и Сводка'!$C$9, ROUNDUP(D10/'Дашборд и Сводка'!$C$6, 0)*0.01)</f>
        <v/>
      </c>
      <c r="F10" s="45">
        <f>'Дашборд и Сводка'!$C$7</f>
        <v/>
      </c>
      <c r="G10" s="29">
        <f>E10*F10*'Дашборд и Сводка'!$C$8</f>
        <v/>
      </c>
      <c r="H10" s="29">
        <f>D10+G10</f>
        <v/>
      </c>
    </row>
    <row r="11" ht="20" customHeight="1">
      <c r="A11" s="33" t="inlineStr">
        <is>
          <t>Январь</t>
        </is>
      </c>
      <c r="B11" s="33" t="n">
        <v>6</v>
      </c>
      <c r="C11" s="33" t="n">
        <v>6</v>
      </c>
      <c r="D11" s="34">
        <f>H10</f>
        <v/>
      </c>
      <c r="E11" s="35">
        <f>MIN('Дашборд и Сводка'!$C$9, ROUNDUP(D11/'Дашборд и Сводка'!$C$6, 0)*0.01)</f>
        <v/>
      </c>
      <c r="F11" s="46">
        <f>'Дашборд и Сводка'!$C$7</f>
        <v/>
      </c>
      <c r="G11" s="34">
        <f>E11*F11*'Дашборд и Сводка'!$C$8</f>
        <v/>
      </c>
      <c r="H11" s="34">
        <f>D11+G11</f>
        <v/>
      </c>
    </row>
    <row r="12" ht="20" customHeight="1">
      <c r="A12" s="28" t="inlineStr">
        <is>
          <t>Январь</t>
        </is>
      </c>
      <c r="B12" s="28" t="n">
        <v>7</v>
      </c>
      <c r="C12" s="28" t="n">
        <v>7</v>
      </c>
      <c r="D12" s="29">
        <f>H11</f>
        <v/>
      </c>
      <c r="E12" s="30">
        <f>MIN('Дашборд и Сводка'!$C$9, ROUNDUP(D12/'Дашборд и Сводка'!$C$6, 0)*0.01)</f>
        <v/>
      </c>
      <c r="F12" s="45">
        <f>'Дашборд и Сводка'!$C$7</f>
        <v/>
      </c>
      <c r="G12" s="29">
        <f>E12*F12*'Дашборд и Сводка'!$C$8</f>
        <v/>
      </c>
      <c r="H12" s="29">
        <f>D12+G12</f>
        <v/>
      </c>
    </row>
    <row r="13" ht="20" customHeight="1">
      <c r="A13" s="33" t="inlineStr">
        <is>
          <t>Январь</t>
        </is>
      </c>
      <c r="B13" s="33" t="n">
        <v>8</v>
      </c>
      <c r="C13" s="33" t="n">
        <v>8</v>
      </c>
      <c r="D13" s="34">
        <f>H12</f>
        <v/>
      </c>
      <c r="E13" s="35">
        <f>MIN('Дашборд и Сводка'!$C$9, ROUNDUP(D13/'Дашборд и Сводка'!$C$6, 0)*0.01)</f>
        <v/>
      </c>
      <c r="F13" s="46">
        <f>'Дашборд и Сводка'!$C$7</f>
        <v/>
      </c>
      <c r="G13" s="34">
        <f>E13*F13*'Дашборд и Сводка'!$C$8</f>
        <v/>
      </c>
      <c r="H13" s="34">
        <f>D13+G13</f>
        <v/>
      </c>
    </row>
    <row r="14" ht="20" customHeight="1">
      <c r="A14" s="28" t="inlineStr">
        <is>
          <t>Январь</t>
        </is>
      </c>
      <c r="B14" s="28" t="n">
        <v>9</v>
      </c>
      <c r="C14" s="28" t="n">
        <v>9</v>
      </c>
      <c r="D14" s="29">
        <f>H13</f>
        <v/>
      </c>
      <c r="E14" s="30">
        <f>MIN('Дашборд и Сводка'!$C$9, ROUNDUP(D14/'Дашборд и Сводка'!$C$6, 0)*0.01)</f>
        <v/>
      </c>
      <c r="F14" s="45">
        <f>'Дашборд и Сводка'!$C$7</f>
        <v/>
      </c>
      <c r="G14" s="29">
        <f>E14*F14*'Дашборд и Сводка'!$C$8</f>
        <v/>
      </c>
      <c r="H14" s="29">
        <f>D14+G14</f>
        <v/>
      </c>
    </row>
    <row r="15" ht="20" customHeight="1">
      <c r="A15" s="33" t="inlineStr">
        <is>
          <t>Январь</t>
        </is>
      </c>
      <c r="B15" s="33" t="n">
        <v>10</v>
      </c>
      <c r="C15" s="33" t="n">
        <v>10</v>
      </c>
      <c r="D15" s="34">
        <f>H14</f>
        <v/>
      </c>
      <c r="E15" s="35">
        <f>MIN('Дашборд и Сводка'!$C$9, ROUNDUP(D15/'Дашборд и Сводка'!$C$6, 0)*0.01)</f>
        <v/>
      </c>
      <c r="F15" s="46">
        <f>'Дашборд и Сводка'!$C$7</f>
        <v/>
      </c>
      <c r="G15" s="34">
        <f>E15*F15*'Дашборд и Сводка'!$C$8</f>
        <v/>
      </c>
      <c r="H15" s="34">
        <f>D15+G15</f>
        <v/>
      </c>
    </row>
    <row r="16" ht="20" customHeight="1">
      <c r="A16" s="28" t="inlineStr">
        <is>
          <t>Январь</t>
        </is>
      </c>
      <c r="B16" s="28" t="n">
        <v>11</v>
      </c>
      <c r="C16" s="28" t="n">
        <v>11</v>
      </c>
      <c r="D16" s="29">
        <f>H15</f>
        <v/>
      </c>
      <c r="E16" s="30">
        <f>MIN('Дашборд и Сводка'!$C$9, ROUNDUP(D16/'Дашборд и Сводка'!$C$6, 0)*0.01)</f>
        <v/>
      </c>
      <c r="F16" s="45">
        <f>'Дашборд и Сводка'!$C$7</f>
        <v/>
      </c>
      <c r="G16" s="29">
        <f>E16*F16*'Дашборд и Сводка'!$C$8</f>
        <v/>
      </c>
      <c r="H16" s="29">
        <f>D16+G16</f>
        <v/>
      </c>
    </row>
    <row r="17" ht="20" customHeight="1">
      <c r="A17" s="33" t="inlineStr">
        <is>
          <t>Январь</t>
        </is>
      </c>
      <c r="B17" s="33" t="n">
        <v>12</v>
      </c>
      <c r="C17" s="33" t="n">
        <v>12</v>
      </c>
      <c r="D17" s="34">
        <f>H16</f>
        <v/>
      </c>
      <c r="E17" s="35">
        <f>MIN('Дашборд и Сводка'!$C$9, ROUNDUP(D17/'Дашборд и Сводка'!$C$6, 0)*0.01)</f>
        <v/>
      </c>
      <c r="F17" s="46">
        <f>'Дашборд и Сводка'!$C$7</f>
        <v/>
      </c>
      <c r="G17" s="34">
        <f>E17*F17*'Дашборд и Сводка'!$C$8</f>
        <v/>
      </c>
      <c r="H17" s="34">
        <f>D17+G17</f>
        <v/>
      </c>
    </row>
    <row r="18" ht="20" customHeight="1">
      <c r="A18" s="28" t="inlineStr">
        <is>
          <t>Январь</t>
        </is>
      </c>
      <c r="B18" s="28" t="n">
        <v>13</v>
      </c>
      <c r="C18" s="28" t="n">
        <v>13</v>
      </c>
      <c r="D18" s="29">
        <f>H17</f>
        <v/>
      </c>
      <c r="E18" s="30">
        <f>MIN('Дашборд и Сводка'!$C$9, ROUNDUP(D18/'Дашборд и Сводка'!$C$6, 0)*0.01)</f>
        <v/>
      </c>
      <c r="F18" s="45">
        <f>'Дашборд и Сводка'!$C$7</f>
        <v/>
      </c>
      <c r="G18" s="29">
        <f>E18*F18*'Дашборд и Сводка'!$C$8</f>
        <v/>
      </c>
      <c r="H18" s="29">
        <f>D18+G18</f>
        <v/>
      </c>
    </row>
    <row r="19" ht="20" customHeight="1">
      <c r="A19" s="33" t="inlineStr">
        <is>
          <t>Январь</t>
        </is>
      </c>
      <c r="B19" s="33" t="n">
        <v>14</v>
      </c>
      <c r="C19" s="33" t="n">
        <v>14</v>
      </c>
      <c r="D19" s="34">
        <f>H18</f>
        <v/>
      </c>
      <c r="E19" s="35">
        <f>MIN('Дашборд и Сводка'!$C$9, ROUNDUP(D19/'Дашборд и Сводка'!$C$6, 0)*0.01)</f>
        <v/>
      </c>
      <c r="F19" s="46">
        <f>'Дашборд и Сводка'!$C$7</f>
        <v/>
      </c>
      <c r="G19" s="34">
        <f>E19*F19*'Дашборд и Сводка'!$C$8</f>
        <v/>
      </c>
      <c r="H19" s="34">
        <f>D19+G19</f>
        <v/>
      </c>
    </row>
    <row r="20" ht="20" customHeight="1">
      <c r="A20" s="28" t="inlineStr">
        <is>
          <t>Январь</t>
        </is>
      </c>
      <c r="B20" s="28" t="n">
        <v>15</v>
      </c>
      <c r="C20" s="28" t="n">
        <v>15</v>
      </c>
      <c r="D20" s="29">
        <f>H19</f>
        <v/>
      </c>
      <c r="E20" s="30">
        <f>MIN('Дашборд и Сводка'!$C$9, ROUNDUP(D20/'Дашборд и Сводка'!$C$6, 0)*0.01)</f>
        <v/>
      </c>
      <c r="F20" s="45">
        <f>'Дашборд и Сводка'!$C$7</f>
        <v/>
      </c>
      <c r="G20" s="29">
        <f>E20*F20*'Дашборд и Сводка'!$C$8</f>
        <v/>
      </c>
      <c r="H20" s="29">
        <f>D20+G20</f>
        <v/>
      </c>
    </row>
    <row r="21" ht="20" customHeight="1">
      <c r="A21" s="33" t="inlineStr">
        <is>
          <t>Январь</t>
        </is>
      </c>
      <c r="B21" s="33" t="n">
        <v>16</v>
      </c>
      <c r="C21" s="33" t="n">
        <v>16</v>
      </c>
      <c r="D21" s="34">
        <f>H20</f>
        <v/>
      </c>
      <c r="E21" s="35">
        <f>MIN('Дашборд и Сводка'!$C$9, ROUNDUP(D21/'Дашборд и Сводка'!$C$6, 0)*0.01)</f>
        <v/>
      </c>
      <c r="F21" s="46">
        <f>'Дашборд и Сводка'!$C$7</f>
        <v/>
      </c>
      <c r="G21" s="34">
        <f>E21*F21*'Дашборд и Сводка'!$C$8</f>
        <v/>
      </c>
      <c r="H21" s="34">
        <f>D21+G21</f>
        <v/>
      </c>
    </row>
    <row r="22" ht="20" customHeight="1">
      <c r="A22" s="28" t="inlineStr">
        <is>
          <t>Январь</t>
        </is>
      </c>
      <c r="B22" s="28" t="n">
        <v>17</v>
      </c>
      <c r="C22" s="28" t="n">
        <v>17</v>
      </c>
      <c r="D22" s="29">
        <f>H21</f>
        <v/>
      </c>
      <c r="E22" s="30">
        <f>MIN('Дашборд и Сводка'!$C$9, ROUNDUP(D22/'Дашборд и Сводка'!$C$6, 0)*0.01)</f>
        <v/>
      </c>
      <c r="F22" s="45">
        <f>'Дашборд и Сводка'!$C$7</f>
        <v/>
      </c>
      <c r="G22" s="29">
        <f>E22*F22*'Дашборд и Сводка'!$C$8</f>
        <v/>
      </c>
      <c r="H22" s="29">
        <f>D22+G22</f>
        <v/>
      </c>
    </row>
    <row r="23" ht="20" customHeight="1">
      <c r="A23" s="33" t="inlineStr">
        <is>
          <t>Январь</t>
        </is>
      </c>
      <c r="B23" s="33" t="n">
        <v>18</v>
      </c>
      <c r="C23" s="33" t="n">
        <v>18</v>
      </c>
      <c r="D23" s="34">
        <f>H22</f>
        <v/>
      </c>
      <c r="E23" s="35">
        <f>MIN('Дашборд и Сводка'!$C$9, ROUNDUP(D23/'Дашборд и Сводка'!$C$6, 0)*0.01)</f>
        <v/>
      </c>
      <c r="F23" s="46">
        <f>'Дашборд и Сводка'!$C$7</f>
        <v/>
      </c>
      <c r="G23" s="34">
        <f>E23*F23*'Дашборд и Сводка'!$C$8</f>
        <v/>
      </c>
      <c r="H23" s="34">
        <f>D23+G23</f>
        <v/>
      </c>
    </row>
    <row r="24" ht="20" customHeight="1">
      <c r="A24" s="28" t="inlineStr">
        <is>
          <t>Январь</t>
        </is>
      </c>
      <c r="B24" s="28" t="n">
        <v>19</v>
      </c>
      <c r="C24" s="28" t="n">
        <v>19</v>
      </c>
      <c r="D24" s="29">
        <f>H23</f>
        <v/>
      </c>
      <c r="E24" s="30">
        <f>MIN('Дашборд и Сводка'!$C$9, ROUNDUP(D24/'Дашборд и Сводка'!$C$6, 0)*0.01)</f>
        <v/>
      </c>
      <c r="F24" s="45">
        <f>'Дашборд и Сводка'!$C$7</f>
        <v/>
      </c>
      <c r="G24" s="29">
        <f>E24*F24*'Дашборд и Сводка'!$C$8</f>
        <v/>
      </c>
      <c r="H24" s="29">
        <f>D24+G24</f>
        <v/>
      </c>
    </row>
    <row r="25" ht="20" customHeight="1">
      <c r="A25" s="33" t="inlineStr">
        <is>
          <t>Январь</t>
        </is>
      </c>
      <c r="B25" s="33" t="n">
        <v>20</v>
      </c>
      <c r="C25" s="33" t="n">
        <v>20</v>
      </c>
      <c r="D25" s="34">
        <f>H24</f>
        <v/>
      </c>
      <c r="E25" s="35">
        <f>MIN('Дашборд и Сводка'!$C$9, ROUNDUP(D25/'Дашборд и Сводка'!$C$6, 0)*0.01)</f>
        <v/>
      </c>
      <c r="F25" s="46">
        <f>'Дашборд и Сводка'!$C$7</f>
        <v/>
      </c>
      <c r="G25" s="34">
        <f>E25*F25*'Дашборд и Сводка'!$C$8</f>
        <v/>
      </c>
      <c r="H25" s="34">
        <f>D25+G25</f>
        <v/>
      </c>
    </row>
    <row r="26" ht="20" customHeight="1">
      <c r="A26" s="28" t="inlineStr">
        <is>
          <t>Январь</t>
        </is>
      </c>
      <c r="B26" s="28" t="n">
        <v>21</v>
      </c>
      <c r="C26" s="28" t="n">
        <v>21</v>
      </c>
      <c r="D26" s="29">
        <f>H25</f>
        <v/>
      </c>
      <c r="E26" s="30">
        <f>MIN('Дашборд и Сводка'!$C$9, ROUNDUP(D26/'Дашборд и Сводка'!$C$6, 0)*0.01)</f>
        <v/>
      </c>
      <c r="F26" s="45">
        <f>'Дашборд и Сводка'!$C$7</f>
        <v/>
      </c>
      <c r="G26" s="29">
        <f>E26*F26*'Дашборд и Сводка'!$C$8</f>
        <v/>
      </c>
      <c r="H26" s="29">
        <f>D26+G26</f>
        <v/>
      </c>
    </row>
    <row r="27" ht="20" customHeight="1">
      <c r="A27" s="33" t="inlineStr">
        <is>
          <t>Январь</t>
        </is>
      </c>
      <c r="B27" s="33" t="n">
        <v>22</v>
      </c>
      <c r="C27" s="33" t="n">
        <v>22</v>
      </c>
      <c r="D27" s="34">
        <f>H26</f>
        <v/>
      </c>
      <c r="E27" s="35">
        <f>MIN('Дашборд и Сводка'!$C$9, ROUNDUP(D27/'Дашборд и Сводка'!$C$6, 0)*0.01)</f>
        <v/>
      </c>
      <c r="F27" s="46">
        <f>'Дашборд и Сводка'!$C$7</f>
        <v/>
      </c>
      <c r="G27" s="34">
        <f>E27*F27*'Дашборд и Сводка'!$C$8</f>
        <v/>
      </c>
      <c r="H27" s="34">
        <f>D27+G27</f>
        <v/>
      </c>
    </row>
    <row r="28" ht="24" customHeight="1">
      <c r="A28" s="47" t="inlineStr">
        <is>
          <t>ИТОГО ЗА ЯНВАРЬ:</t>
        </is>
      </c>
      <c r="B28" s="48" t="n"/>
      <c r="C28" s="48" t="n"/>
      <c r="D28" s="49">
        <f>D6</f>
        <v/>
      </c>
      <c r="E28" s="50">
        <f>MAX(E6:E27)</f>
        <v/>
      </c>
      <c r="F28" s="51">
        <f>'Дашборд и Сводка'!$C$7</f>
        <v/>
      </c>
      <c r="G28" s="52">
        <f>SUM(G6:G27)</f>
        <v/>
      </c>
      <c r="H28" s="53">
        <f>H27</f>
        <v/>
      </c>
    </row>
    <row r="30" ht="26" customHeight="1">
      <c r="A30" s="43" t="inlineStr">
        <is>
          <t>МЕСЯЦ 2: ФЕВРАЛЬ (20 торговых дней)</t>
        </is>
      </c>
    </row>
    <row r="31" ht="24" customHeight="1">
      <c r="A31" s="44" t="inlineStr">
        <is>
          <t>Месяц</t>
        </is>
      </c>
      <c r="B31" s="44" t="inlineStr">
        <is>
          <t>День года</t>
        </is>
      </c>
      <c r="C31" s="44" t="inlineStr">
        <is>
          <t>День месяца</t>
        </is>
      </c>
      <c r="D31" s="44" t="inlineStr">
        <is>
          <t>Начальный депозит ($)</t>
        </is>
      </c>
      <c r="E31" s="44" t="inlineStr">
        <is>
          <t>Размер лота</t>
        </is>
      </c>
      <c r="F31" s="44" t="inlineStr">
        <is>
          <t>Цель (пунктов)</t>
        </is>
      </c>
      <c r="G31" s="44" t="inlineStr">
        <is>
          <t>Прибыль за день ($)</t>
        </is>
      </c>
      <c r="H31" s="44" t="inlineStr">
        <is>
          <t>Итоговый баланс ($)</t>
        </is>
      </c>
    </row>
    <row r="32" ht="20" customHeight="1">
      <c r="A32" s="28" t="inlineStr">
        <is>
          <t>Февраль</t>
        </is>
      </c>
      <c r="B32" s="28" t="n">
        <v>23</v>
      </c>
      <c r="C32" s="28" t="n">
        <v>1</v>
      </c>
      <c r="D32" s="29">
        <f>H27</f>
        <v/>
      </c>
      <c r="E32" s="30">
        <f>MIN('Дашборд и Сводка'!$C$9, ROUNDUP(D32/'Дашборд и Сводка'!$C$6, 0)*0.01)</f>
        <v/>
      </c>
      <c r="F32" s="45">
        <f>'Дашборд и Сводка'!$C$7</f>
        <v/>
      </c>
      <c r="G32" s="29">
        <f>E32*F32*'Дашборд и Сводка'!$C$8</f>
        <v/>
      </c>
      <c r="H32" s="29">
        <f>D32+G32</f>
        <v/>
      </c>
    </row>
    <row r="33" ht="20" customHeight="1">
      <c r="A33" s="33" t="inlineStr">
        <is>
          <t>Февраль</t>
        </is>
      </c>
      <c r="B33" s="33" t="n">
        <v>24</v>
      </c>
      <c r="C33" s="33" t="n">
        <v>2</v>
      </c>
      <c r="D33" s="34">
        <f>H32</f>
        <v/>
      </c>
      <c r="E33" s="35">
        <f>MIN('Дашборд и Сводка'!$C$9, ROUNDUP(D33/'Дашборд и Сводка'!$C$6, 0)*0.01)</f>
        <v/>
      </c>
      <c r="F33" s="46">
        <f>'Дашборд и Сводка'!$C$7</f>
        <v/>
      </c>
      <c r="G33" s="34">
        <f>E33*F33*'Дашборд и Сводка'!$C$8</f>
        <v/>
      </c>
      <c r="H33" s="34">
        <f>D33+G33</f>
        <v/>
      </c>
    </row>
    <row r="34" ht="20" customHeight="1">
      <c r="A34" s="28" t="inlineStr">
        <is>
          <t>Февраль</t>
        </is>
      </c>
      <c r="B34" s="28" t="n">
        <v>25</v>
      </c>
      <c r="C34" s="28" t="n">
        <v>3</v>
      </c>
      <c r="D34" s="29">
        <f>H33</f>
        <v/>
      </c>
      <c r="E34" s="30">
        <f>MIN('Дашборд и Сводка'!$C$9, ROUNDUP(D34/'Дашборд и Сводка'!$C$6, 0)*0.01)</f>
        <v/>
      </c>
      <c r="F34" s="45">
        <f>'Дашборд и Сводка'!$C$7</f>
        <v/>
      </c>
      <c r="G34" s="29">
        <f>E34*F34*'Дашборд и Сводка'!$C$8</f>
        <v/>
      </c>
      <c r="H34" s="29">
        <f>D34+G34</f>
        <v/>
      </c>
    </row>
    <row r="35" ht="20" customHeight="1">
      <c r="A35" s="33" t="inlineStr">
        <is>
          <t>Февраль</t>
        </is>
      </c>
      <c r="B35" s="33" t="n">
        <v>26</v>
      </c>
      <c r="C35" s="33" t="n">
        <v>4</v>
      </c>
      <c r="D35" s="34">
        <f>H34</f>
        <v/>
      </c>
      <c r="E35" s="35">
        <f>MIN('Дашборд и Сводка'!$C$9, ROUNDUP(D35/'Дашборд и Сводка'!$C$6, 0)*0.01)</f>
        <v/>
      </c>
      <c r="F35" s="46">
        <f>'Дашборд и Сводка'!$C$7</f>
        <v/>
      </c>
      <c r="G35" s="34">
        <f>E35*F35*'Дашборд и Сводка'!$C$8</f>
        <v/>
      </c>
      <c r="H35" s="34">
        <f>D35+G35</f>
        <v/>
      </c>
    </row>
    <row r="36" ht="20" customHeight="1">
      <c r="A36" s="28" t="inlineStr">
        <is>
          <t>Февраль</t>
        </is>
      </c>
      <c r="B36" s="28" t="n">
        <v>27</v>
      </c>
      <c r="C36" s="28" t="n">
        <v>5</v>
      </c>
      <c r="D36" s="29">
        <f>H35</f>
        <v/>
      </c>
      <c r="E36" s="30">
        <f>MIN('Дашборд и Сводка'!$C$9, ROUNDUP(D36/'Дашборд и Сводка'!$C$6, 0)*0.01)</f>
        <v/>
      </c>
      <c r="F36" s="45">
        <f>'Дашборд и Сводка'!$C$7</f>
        <v/>
      </c>
      <c r="G36" s="29">
        <f>E36*F36*'Дашборд и Сводка'!$C$8</f>
        <v/>
      </c>
      <c r="H36" s="29">
        <f>D36+G36</f>
        <v/>
      </c>
    </row>
    <row r="37" ht="20" customHeight="1">
      <c r="A37" s="33" t="inlineStr">
        <is>
          <t>Февраль</t>
        </is>
      </c>
      <c r="B37" s="33" t="n">
        <v>28</v>
      </c>
      <c r="C37" s="33" t="n">
        <v>6</v>
      </c>
      <c r="D37" s="34">
        <f>H36</f>
        <v/>
      </c>
      <c r="E37" s="35">
        <f>MIN('Дашборд и Сводка'!$C$9, ROUNDUP(D37/'Дашборд и Сводка'!$C$6, 0)*0.01)</f>
        <v/>
      </c>
      <c r="F37" s="46">
        <f>'Дашборд и Сводка'!$C$7</f>
        <v/>
      </c>
      <c r="G37" s="34">
        <f>E37*F37*'Дашборд и Сводка'!$C$8</f>
        <v/>
      </c>
      <c r="H37" s="34">
        <f>D37+G37</f>
        <v/>
      </c>
    </row>
    <row r="38" ht="20" customHeight="1">
      <c r="A38" s="28" t="inlineStr">
        <is>
          <t>Февраль</t>
        </is>
      </c>
      <c r="B38" s="28" t="n">
        <v>29</v>
      </c>
      <c r="C38" s="28" t="n">
        <v>7</v>
      </c>
      <c r="D38" s="29">
        <f>H37</f>
        <v/>
      </c>
      <c r="E38" s="30">
        <f>MIN('Дашборд и Сводка'!$C$9, ROUNDUP(D38/'Дашборд и Сводка'!$C$6, 0)*0.01)</f>
        <v/>
      </c>
      <c r="F38" s="45">
        <f>'Дашборд и Сводка'!$C$7</f>
        <v/>
      </c>
      <c r="G38" s="29">
        <f>E38*F38*'Дашборд и Сводка'!$C$8</f>
        <v/>
      </c>
      <c r="H38" s="29">
        <f>D38+G38</f>
        <v/>
      </c>
    </row>
    <row r="39" ht="20" customHeight="1">
      <c r="A39" s="33" t="inlineStr">
        <is>
          <t>Февраль</t>
        </is>
      </c>
      <c r="B39" s="33" t="n">
        <v>30</v>
      </c>
      <c r="C39" s="33" t="n">
        <v>8</v>
      </c>
      <c r="D39" s="34">
        <f>H38</f>
        <v/>
      </c>
      <c r="E39" s="35">
        <f>MIN('Дашборд и Сводка'!$C$9, ROUNDUP(D39/'Дашборд и Сводка'!$C$6, 0)*0.01)</f>
        <v/>
      </c>
      <c r="F39" s="46">
        <f>'Дашборд и Сводка'!$C$7</f>
        <v/>
      </c>
      <c r="G39" s="34">
        <f>E39*F39*'Дашборд и Сводка'!$C$8</f>
        <v/>
      </c>
      <c r="H39" s="34">
        <f>D39+G39</f>
        <v/>
      </c>
    </row>
    <row r="40" ht="20" customHeight="1">
      <c r="A40" s="28" t="inlineStr">
        <is>
          <t>Февраль</t>
        </is>
      </c>
      <c r="B40" s="28" t="n">
        <v>31</v>
      </c>
      <c r="C40" s="28" t="n">
        <v>9</v>
      </c>
      <c r="D40" s="29">
        <f>H39</f>
        <v/>
      </c>
      <c r="E40" s="30">
        <f>MIN('Дашборд и Сводка'!$C$9, ROUNDUP(D40/'Дашборд и Сводка'!$C$6, 0)*0.01)</f>
        <v/>
      </c>
      <c r="F40" s="45">
        <f>'Дашборд и Сводка'!$C$7</f>
        <v/>
      </c>
      <c r="G40" s="29">
        <f>E40*F40*'Дашборд и Сводка'!$C$8</f>
        <v/>
      </c>
      <c r="H40" s="29">
        <f>D40+G40</f>
        <v/>
      </c>
    </row>
    <row r="41" ht="20" customHeight="1">
      <c r="A41" s="33" t="inlineStr">
        <is>
          <t>Февраль</t>
        </is>
      </c>
      <c r="B41" s="33" t="n">
        <v>32</v>
      </c>
      <c r="C41" s="33" t="n">
        <v>10</v>
      </c>
      <c r="D41" s="34">
        <f>H40</f>
        <v/>
      </c>
      <c r="E41" s="35">
        <f>MIN('Дашборд и Сводка'!$C$9, ROUNDUP(D41/'Дашборд и Сводка'!$C$6, 0)*0.01)</f>
        <v/>
      </c>
      <c r="F41" s="46">
        <f>'Дашборд и Сводка'!$C$7</f>
        <v/>
      </c>
      <c r="G41" s="34">
        <f>E41*F41*'Дашборд и Сводка'!$C$8</f>
        <v/>
      </c>
      <c r="H41" s="34">
        <f>D41+G41</f>
        <v/>
      </c>
    </row>
    <row r="42" ht="20" customHeight="1">
      <c r="A42" s="28" t="inlineStr">
        <is>
          <t>Февраль</t>
        </is>
      </c>
      <c r="B42" s="28" t="n">
        <v>33</v>
      </c>
      <c r="C42" s="28" t="n">
        <v>11</v>
      </c>
      <c r="D42" s="29">
        <f>H41</f>
        <v/>
      </c>
      <c r="E42" s="30">
        <f>MIN('Дашборд и Сводка'!$C$9, ROUNDUP(D42/'Дашборд и Сводка'!$C$6, 0)*0.01)</f>
        <v/>
      </c>
      <c r="F42" s="45">
        <f>'Дашборд и Сводка'!$C$7</f>
        <v/>
      </c>
      <c r="G42" s="29">
        <f>E42*F42*'Дашборд и Сводка'!$C$8</f>
        <v/>
      </c>
      <c r="H42" s="29">
        <f>D42+G42</f>
        <v/>
      </c>
    </row>
    <row r="43" ht="20" customHeight="1">
      <c r="A43" s="33" t="inlineStr">
        <is>
          <t>Февраль</t>
        </is>
      </c>
      <c r="B43" s="33" t="n">
        <v>34</v>
      </c>
      <c r="C43" s="33" t="n">
        <v>12</v>
      </c>
      <c r="D43" s="34">
        <f>H42</f>
        <v/>
      </c>
      <c r="E43" s="35">
        <f>MIN('Дашборд и Сводка'!$C$9, ROUNDUP(D43/'Дашборд и Сводка'!$C$6, 0)*0.01)</f>
        <v/>
      </c>
      <c r="F43" s="46">
        <f>'Дашборд и Сводка'!$C$7</f>
        <v/>
      </c>
      <c r="G43" s="34">
        <f>E43*F43*'Дашборд и Сводка'!$C$8</f>
        <v/>
      </c>
      <c r="H43" s="34">
        <f>D43+G43</f>
        <v/>
      </c>
    </row>
    <row r="44" ht="20" customHeight="1">
      <c r="A44" s="28" t="inlineStr">
        <is>
          <t>Февраль</t>
        </is>
      </c>
      <c r="B44" s="28" t="n">
        <v>35</v>
      </c>
      <c r="C44" s="28" t="n">
        <v>13</v>
      </c>
      <c r="D44" s="29">
        <f>H43</f>
        <v/>
      </c>
      <c r="E44" s="30">
        <f>MIN('Дашборд и Сводка'!$C$9, ROUNDUP(D44/'Дашборд и Сводка'!$C$6, 0)*0.01)</f>
        <v/>
      </c>
      <c r="F44" s="45">
        <f>'Дашборд и Сводка'!$C$7</f>
        <v/>
      </c>
      <c r="G44" s="29">
        <f>E44*F44*'Дашборд и Сводка'!$C$8</f>
        <v/>
      </c>
      <c r="H44" s="29">
        <f>D44+G44</f>
        <v/>
      </c>
    </row>
    <row r="45" ht="20" customHeight="1">
      <c r="A45" s="33" t="inlineStr">
        <is>
          <t>Февраль</t>
        </is>
      </c>
      <c r="B45" s="33" t="n">
        <v>36</v>
      </c>
      <c r="C45" s="33" t="n">
        <v>14</v>
      </c>
      <c r="D45" s="34">
        <f>H44</f>
        <v/>
      </c>
      <c r="E45" s="35">
        <f>MIN('Дашборд и Сводка'!$C$9, ROUNDUP(D45/'Дашборд и Сводка'!$C$6, 0)*0.01)</f>
        <v/>
      </c>
      <c r="F45" s="46">
        <f>'Дашборд и Сводка'!$C$7</f>
        <v/>
      </c>
      <c r="G45" s="34">
        <f>E45*F45*'Дашборд и Сводка'!$C$8</f>
        <v/>
      </c>
      <c r="H45" s="34">
        <f>D45+G45</f>
        <v/>
      </c>
    </row>
    <row r="46" ht="20" customHeight="1">
      <c r="A46" s="28" t="inlineStr">
        <is>
          <t>Февраль</t>
        </is>
      </c>
      <c r="B46" s="28" t="n">
        <v>37</v>
      </c>
      <c r="C46" s="28" t="n">
        <v>15</v>
      </c>
      <c r="D46" s="29">
        <f>H45</f>
        <v/>
      </c>
      <c r="E46" s="30">
        <f>MIN('Дашборд и Сводка'!$C$9, ROUNDUP(D46/'Дашборд и Сводка'!$C$6, 0)*0.01)</f>
        <v/>
      </c>
      <c r="F46" s="45">
        <f>'Дашборд и Сводка'!$C$7</f>
        <v/>
      </c>
      <c r="G46" s="29">
        <f>E46*F46*'Дашборд и Сводка'!$C$8</f>
        <v/>
      </c>
      <c r="H46" s="29">
        <f>D46+G46</f>
        <v/>
      </c>
    </row>
    <row r="47" ht="20" customHeight="1">
      <c r="A47" s="33" t="inlineStr">
        <is>
          <t>Февраль</t>
        </is>
      </c>
      <c r="B47" s="33" t="n">
        <v>38</v>
      </c>
      <c r="C47" s="33" t="n">
        <v>16</v>
      </c>
      <c r="D47" s="34">
        <f>H46</f>
        <v/>
      </c>
      <c r="E47" s="35">
        <f>MIN('Дашборд и Сводка'!$C$9, ROUNDUP(D47/'Дашборд и Сводка'!$C$6, 0)*0.01)</f>
        <v/>
      </c>
      <c r="F47" s="46">
        <f>'Дашборд и Сводка'!$C$7</f>
        <v/>
      </c>
      <c r="G47" s="34">
        <f>E47*F47*'Дашборд и Сводка'!$C$8</f>
        <v/>
      </c>
      <c r="H47" s="34">
        <f>D47+G47</f>
        <v/>
      </c>
    </row>
    <row r="48" ht="20" customHeight="1">
      <c r="A48" s="28" t="inlineStr">
        <is>
          <t>Февраль</t>
        </is>
      </c>
      <c r="B48" s="28" t="n">
        <v>39</v>
      </c>
      <c r="C48" s="28" t="n">
        <v>17</v>
      </c>
      <c r="D48" s="29">
        <f>H47</f>
        <v/>
      </c>
      <c r="E48" s="30">
        <f>MIN('Дашборд и Сводка'!$C$9, ROUNDUP(D48/'Дашборд и Сводка'!$C$6, 0)*0.01)</f>
        <v/>
      </c>
      <c r="F48" s="45">
        <f>'Дашборд и Сводка'!$C$7</f>
        <v/>
      </c>
      <c r="G48" s="29">
        <f>E48*F48*'Дашборд и Сводка'!$C$8</f>
        <v/>
      </c>
      <c r="H48" s="29">
        <f>D48+G48</f>
        <v/>
      </c>
    </row>
    <row r="49" ht="20" customHeight="1">
      <c r="A49" s="33" t="inlineStr">
        <is>
          <t>Февраль</t>
        </is>
      </c>
      <c r="B49" s="33" t="n">
        <v>40</v>
      </c>
      <c r="C49" s="33" t="n">
        <v>18</v>
      </c>
      <c r="D49" s="34">
        <f>H48</f>
        <v/>
      </c>
      <c r="E49" s="35">
        <f>MIN('Дашборд и Сводка'!$C$9, ROUNDUP(D49/'Дашборд и Сводка'!$C$6, 0)*0.01)</f>
        <v/>
      </c>
      <c r="F49" s="46">
        <f>'Дашборд и Сводка'!$C$7</f>
        <v/>
      </c>
      <c r="G49" s="34">
        <f>E49*F49*'Дашборд и Сводка'!$C$8</f>
        <v/>
      </c>
      <c r="H49" s="34">
        <f>D49+G49</f>
        <v/>
      </c>
    </row>
    <row r="50" ht="20" customHeight="1">
      <c r="A50" s="28" t="inlineStr">
        <is>
          <t>Февраль</t>
        </is>
      </c>
      <c r="B50" s="28" t="n">
        <v>41</v>
      </c>
      <c r="C50" s="28" t="n">
        <v>19</v>
      </c>
      <c r="D50" s="29">
        <f>H49</f>
        <v/>
      </c>
      <c r="E50" s="30">
        <f>MIN('Дашборд и Сводка'!$C$9, ROUNDUP(D50/'Дашборд и Сводка'!$C$6, 0)*0.01)</f>
        <v/>
      </c>
      <c r="F50" s="45">
        <f>'Дашборд и Сводка'!$C$7</f>
        <v/>
      </c>
      <c r="G50" s="29">
        <f>E50*F50*'Дашборд и Сводка'!$C$8</f>
        <v/>
      </c>
      <c r="H50" s="29">
        <f>D50+G50</f>
        <v/>
      </c>
    </row>
    <row r="51" ht="20" customHeight="1">
      <c r="A51" s="33" t="inlineStr">
        <is>
          <t>Февраль</t>
        </is>
      </c>
      <c r="B51" s="33" t="n">
        <v>42</v>
      </c>
      <c r="C51" s="33" t="n">
        <v>20</v>
      </c>
      <c r="D51" s="34">
        <f>H50</f>
        <v/>
      </c>
      <c r="E51" s="35">
        <f>MIN('Дашборд и Сводка'!$C$9, ROUNDUP(D51/'Дашборд и Сводка'!$C$6, 0)*0.01)</f>
        <v/>
      </c>
      <c r="F51" s="46">
        <f>'Дашборд и Сводка'!$C$7</f>
        <v/>
      </c>
      <c r="G51" s="34">
        <f>E51*F51*'Дашборд и Сводка'!$C$8</f>
        <v/>
      </c>
      <c r="H51" s="34">
        <f>D51+G51</f>
        <v/>
      </c>
    </row>
    <row r="52" ht="24" customHeight="1">
      <c r="A52" s="47" t="inlineStr">
        <is>
          <t>ИТОГО ЗА ФЕВРАЛЬ:</t>
        </is>
      </c>
      <c r="B52" s="48" t="n"/>
      <c r="C52" s="48" t="n"/>
      <c r="D52" s="49">
        <f>D32</f>
        <v/>
      </c>
      <c r="E52" s="50">
        <f>MAX(E32:E51)</f>
        <v/>
      </c>
      <c r="F52" s="51">
        <f>'Дашборд и Сводка'!$C$7</f>
        <v/>
      </c>
      <c r="G52" s="52">
        <f>SUM(G32:G51)</f>
        <v/>
      </c>
      <c r="H52" s="53">
        <f>H51</f>
        <v/>
      </c>
    </row>
    <row r="54" ht="26" customHeight="1">
      <c r="A54" s="43" t="inlineStr">
        <is>
          <t>МЕСЯЦ 3: МАРТ (22 торговых дней)</t>
        </is>
      </c>
    </row>
    <row r="55" ht="24" customHeight="1">
      <c r="A55" s="44" t="inlineStr">
        <is>
          <t>Месяц</t>
        </is>
      </c>
      <c r="B55" s="44" t="inlineStr">
        <is>
          <t>День года</t>
        </is>
      </c>
      <c r="C55" s="44" t="inlineStr">
        <is>
          <t>День месяца</t>
        </is>
      </c>
      <c r="D55" s="44" t="inlineStr">
        <is>
          <t>Начальный депозит ($)</t>
        </is>
      </c>
      <c r="E55" s="44" t="inlineStr">
        <is>
          <t>Размер лота</t>
        </is>
      </c>
      <c r="F55" s="44" t="inlineStr">
        <is>
          <t>Цель (пунктов)</t>
        </is>
      </c>
      <c r="G55" s="44" t="inlineStr">
        <is>
          <t>Прибыль за день ($)</t>
        </is>
      </c>
      <c r="H55" s="44" t="inlineStr">
        <is>
          <t>Итоговый баланс ($)</t>
        </is>
      </c>
    </row>
    <row r="56" ht="20" customHeight="1">
      <c r="A56" s="28" t="inlineStr">
        <is>
          <t>Март</t>
        </is>
      </c>
      <c r="B56" s="28" t="n">
        <v>43</v>
      </c>
      <c r="C56" s="28" t="n">
        <v>1</v>
      </c>
      <c r="D56" s="29">
        <f>H51</f>
        <v/>
      </c>
      <c r="E56" s="30">
        <f>MIN('Дашборд и Сводка'!$C$9, ROUNDUP(D56/'Дашборд и Сводка'!$C$6, 0)*0.01)</f>
        <v/>
      </c>
      <c r="F56" s="45">
        <f>'Дашборд и Сводка'!$C$7</f>
        <v/>
      </c>
      <c r="G56" s="29">
        <f>E56*F56*'Дашборд и Сводка'!$C$8</f>
        <v/>
      </c>
      <c r="H56" s="29">
        <f>D56+G56</f>
        <v/>
      </c>
    </row>
    <row r="57" ht="20" customHeight="1">
      <c r="A57" s="33" t="inlineStr">
        <is>
          <t>Март</t>
        </is>
      </c>
      <c r="B57" s="33" t="n">
        <v>44</v>
      </c>
      <c r="C57" s="33" t="n">
        <v>2</v>
      </c>
      <c r="D57" s="34">
        <f>H56</f>
        <v/>
      </c>
      <c r="E57" s="35">
        <f>MIN('Дашборд и Сводка'!$C$9, ROUNDUP(D57/'Дашборд и Сводка'!$C$6, 0)*0.01)</f>
        <v/>
      </c>
      <c r="F57" s="46">
        <f>'Дашборд и Сводка'!$C$7</f>
        <v/>
      </c>
      <c r="G57" s="34">
        <f>E57*F57*'Дашборд и Сводка'!$C$8</f>
        <v/>
      </c>
      <c r="H57" s="34">
        <f>D57+G57</f>
        <v/>
      </c>
    </row>
    <row r="58" ht="20" customHeight="1">
      <c r="A58" s="28" t="inlineStr">
        <is>
          <t>Март</t>
        </is>
      </c>
      <c r="B58" s="28" t="n">
        <v>45</v>
      </c>
      <c r="C58" s="28" t="n">
        <v>3</v>
      </c>
      <c r="D58" s="29">
        <f>H57</f>
        <v/>
      </c>
      <c r="E58" s="30">
        <f>MIN('Дашборд и Сводка'!$C$9, ROUNDUP(D58/'Дашборд и Сводка'!$C$6, 0)*0.01)</f>
        <v/>
      </c>
      <c r="F58" s="45">
        <f>'Дашборд и Сводка'!$C$7</f>
        <v/>
      </c>
      <c r="G58" s="29">
        <f>E58*F58*'Дашборд и Сводка'!$C$8</f>
        <v/>
      </c>
      <c r="H58" s="29">
        <f>D58+G58</f>
        <v/>
      </c>
    </row>
    <row r="59" ht="20" customHeight="1">
      <c r="A59" s="33" t="inlineStr">
        <is>
          <t>Март</t>
        </is>
      </c>
      <c r="B59" s="33" t="n">
        <v>46</v>
      </c>
      <c r="C59" s="33" t="n">
        <v>4</v>
      </c>
      <c r="D59" s="34">
        <f>H58</f>
        <v/>
      </c>
      <c r="E59" s="35">
        <f>MIN('Дашборд и Сводка'!$C$9, ROUNDUP(D59/'Дашборд и Сводка'!$C$6, 0)*0.01)</f>
        <v/>
      </c>
      <c r="F59" s="46">
        <f>'Дашборд и Сводка'!$C$7</f>
        <v/>
      </c>
      <c r="G59" s="34">
        <f>E59*F59*'Дашборд и Сводка'!$C$8</f>
        <v/>
      </c>
      <c r="H59" s="34">
        <f>D59+G59</f>
        <v/>
      </c>
    </row>
    <row r="60" ht="20" customHeight="1">
      <c r="A60" s="28" t="inlineStr">
        <is>
          <t>Март</t>
        </is>
      </c>
      <c r="B60" s="28" t="n">
        <v>47</v>
      </c>
      <c r="C60" s="28" t="n">
        <v>5</v>
      </c>
      <c r="D60" s="29">
        <f>H59</f>
        <v/>
      </c>
      <c r="E60" s="30">
        <f>MIN('Дашборд и Сводка'!$C$9, ROUNDUP(D60/'Дашборд и Сводка'!$C$6, 0)*0.01)</f>
        <v/>
      </c>
      <c r="F60" s="45">
        <f>'Дашборд и Сводка'!$C$7</f>
        <v/>
      </c>
      <c r="G60" s="29">
        <f>E60*F60*'Дашборд и Сводка'!$C$8</f>
        <v/>
      </c>
      <c r="H60" s="29">
        <f>D60+G60</f>
        <v/>
      </c>
    </row>
    <row r="61" ht="20" customHeight="1">
      <c r="A61" s="33" t="inlineStr">
        <is>
          <t>Март</t>
        </is>
      </c>
      <c r="B61" s="33" t="n">
        <v>48</v>
      </c>
      <c r="C61" s="33" t="n">
        <v>6</v>
      </c>
      <c r="D61" s="34">
        <f>H60</f>
        <v/>
      </c>
      <c r="E61" s="35">
        <f>MIN('Дашборд и Сводка'!$C$9, ROUNDUP(D61/'Дашборд и Сводка'!$C$6, 0)*0.01)</f>
        <v/>
      </c>
      <c r="F61" s="46">
        <f>'Дашборд и Сводка'!$C$7</f>
        <v/>
      </c>
      <c r="G61" s="34">
        <f>E61*F61*'Дашборд и Сводка'!$C$8</f>
        <v/>
      </c>
      <c r="H61" s="34">
        <f>D61+G61</f>
        <v/>
      </c>
    </row>
    <row r="62" ht="20" customHeight="1">
      <c r="A62" s="28" t="inlineStr">
        <is>
          <t>Март</t>
        </is>
      </c>
      <c r="B62" s="28" t="n">
        <v>49</v>
      </c>
      <c r="C62" s="28" t="n">
        <v>7</v>
      </c>
      <c r="D62" s="29">
        <f>H61</f>
        <v/>
      </c>
      <c r="E62" s="30">
        <f>MIN('Дашборд и Сводка'!$C$9, ROUNDUP(D62/'Дашборд и Сводка'!$C$6, 0)*0.01)</f>
        <v/>
      </c>
      <c r="F62" s="45">
        <f>'Дашборд и Сводка'!$C$7</f>
        <v/>
      </c>
      <c r="G62" s="29">
        <f>E62*F62*'Дашборд и Сводка'!$C$8</f>
        <v/>
      </c>
      <c r="H62" s="29">
        <f>D62+G62</f>
        <v/>
      </c>
    </row>
    <row r="63" ht="20" customHeight="1">
      <c r="A63" s="33" t="inlineStr">
        <is>
          <t>Март</t>
        </is>
      </c>
      <c r="B63" s="33" t="n">
        <v>50</v>
      </c>
      <c r="C63" s="33" t="n">
        <v>8</v>
      </c>
      <c r="D63" s="34">
        <f>H62</f>
        <v/>
      </c>
      <c r="E63" s="35">
        <f>MIN('Дашборд и Сводка'!$C$9, ROUNDUP(D63/'Дашборд и Сводка'!$C$6, 0)*0.01)</f>
        <v/>
      </c>
      <c r="F63" s="46">
        <f>'Дашборд и Сводка'!$C$7</f>
        <v/>
      </c>
      <c r="G63" s="34">
        <f>E63*F63*'Дашборд и Сводка'!$C$8</f>
        <v/>
      </c>
      <c r="H63" s="34">
        <f>D63+G63</f>
        <v/>
      </c>
    </row>
    <row r="64" ht="20" customHeight="1">
      <c r="A64" s="28" t="inlineStr">
        <is>
          <t>Март</t>
        </is>
      </c>
      <c r="B64" s="28" t="n">
        <v>51</v>
      </c>
      <c r="C64" s="28" t="n">
        <v>9</v>
      </c>
      <c r="D64" s="29">
        <f>H63</f>
        <v/>
      </c>
      <c r="E64" s="30">
        <f>MIN('Дашборд и Сводка'!$C$9, ROUNDUP(D64/'Дашборд и Сводка'!$C$6, 0)*0.01)</f>
        <v/>
      </c>
      <c r="F64" s="45">
        <f>'Дашборд и Сводка'!$C$7</f>
        <v/>
      </c>
      <c r="G64" s="29">
        <f>E64*F64*'Дашборд и Сводка'!$C$8</f>
        <v/>
      </c>
      <c r="H64" s="29">
        <f>D64+G64</f>
        <v/>
      </c>
    </row>
    <row r="65" ht="20" customHeight="1">
      <c r="A65" s="33" t="inlineStr">
        <is>
          <t>Март</t>
        </is>
      </c>
      <c r="B65" s="33" t="n">
        <v>52</v>
      </c>
      <c r="C65" s="33" t="n">
        <v>10</v>
      </c>
      <c r="D65" s="34">
        <f>H64</f>
        <v/>
      </c>
      <c r="E65" s="35">
        <f>MIN('Дашборд и Сводка'!$C$9, ROUNDUP(D65/'Дашборд и Сводка'!$C$6, 0)*0.01)</f>
        <v/>
      </c>
      <c r="F65" s="46">
        <f>'Дашборд и Сводка'!$C$7</f>
        <v/>
      </c>
      <c r="G65" s="34">
        <f>E65*F65*'Дашборд и Сводка'!$C$8</f>
        <v/>
      </c>
      <c r="H65" s="34">
        <f>D65+G65</f>
        <v/>
      </c>
    </row>
    <row r="66" ht="20" customHeight="1">
      <c r="A66" s="28" t="inlineStr">
        <is>
          <t>Март</t>
        </is>
      </c>
      <c r="B66" s="28" t="n">
        <v>53</v>
      </c>
      <c r="C66" s="28" t="n">
        <v>11</v>
      </c>
      <c r="D66" s="29">
        <f>H65</f>
        <v/>
      </c>
      <c r="E66" s="30">
        <f>MIN('Дашборд и Сводка'!$C$9, ROUNDUP(D66/'Дашборд и Сводка'!$C$6, 0)*0.01)</f>
        <v/>
      </c>
      <c r="F66" s="45">
        <f>'Дашборд и Сводка'!$C$7</f>
        <v/>
      </c>
      <c r="G66" s="29">
        <f>E66*F66*'Дашборд и Сводка'!$C$8</f>
        <v/>
      </c>
      <c r="H66" s="29">
        <f>D66+G66</f>
        <v/>
      </c>
    </row>
    <row r="67" ht="20" customHeight="1">
      <c r="A67" s="33" t="inlineStr">
        <is>
          <t>Март</t>
        </is>
      </c>
      <c r="B67" s="33" t="n">
        <v>54</v>
      </c>
      <c r="C67" s="33" t="n">
        <v>12</v>
      </c>
      <c r="D67" s="34">
        <f>H66</f>
        <v/>
      </c>
      <c r="E67" s="35">
        <f>MIN('Дашборд и Сводка'!$C$9, ROUNDUP(D67/'Дашборд и Сводка'!$C$6, 0)*0.01)</f>
        <v/>
      </c>
      <c r="F67" s="46">
        <f>'Дашборд и Сводка'!$C$7</f>
        <v/>
      </c>
      <c r="G67" s="34">
        <f>E67*F67*'Дашборд и Сводка'!$C$8</f>
        <v/>
      </c>
      <c r="H67" s="34">
        <f>D67+G67</f>
        <v/>
      </c>
    </row>
    <row r="68" ht="20" customHeight="1">
      <c r="A68" s="28" t="inlineStr">
        <is>
          <t>Март</t>
        </is>
      </c>
      <c r="B68" s="28" t="n">
        <v>55</v>
      </c>
      <c r="C68" s="28" t="n">
        <v>13</v>
      </c>
      <c r="D68" s="29">
        <f>H67</f>
        <v/>
      </c>
      <c r="E68" s="30">
        <f>MIN('Дашборд и Сводка'!$C$9, ROUNDUP(D68/'Дашборд и Сводка'!$C$6, 0)*0.01)</f>
        <v/>
      </c>
      <c r="F68" s="45">
        <f>'Дашборд и Сводка'!$C$7</f>
        <v/>
      </c>
      <c r="G68" s="29">
        <f>E68*F68*'Дашборд и Сводка'!$C$8</f>
        <v/>
      </c>
      <c r="H68" s="29">
        <f>D68+G68</f>
        <v/>
      </c>
    </row>
    <row r="69" ht="20" customHeight="1">
      <c r="A69" s="33" t="inlineStr">
        <is>
          <t>Март</t>
        </is>
      </c>
      <c r="B69" s="33" t="n">
        <v>56</v>
      </c>
      <c r="C69" s="33" t="n">
        <v>14</v>
      </c>
      <c r="D69" s="34">
        <f>H68</f>
        <v/>
      </c>
      <c r="E69" s="35">
        <f>MIN('Дашборд и Сводка'!$C$9, ROUNDUP(D69/'Дашборд и Сводка'!$C$6, 0)*0.01)</f>
        <v/>
      </c>
      <c r="F69" s="46">
        <f>'Дашборд и Сводка'!$C$7</f>
        <v/>
      </c>
      <c r="G69" s="34">
        <f>E69*F69*'Дашборд и Сводка'!$C$8</f>
        <v/>
      </c>
      <c r="H69" s="34">
        <f>D69+G69</f>
        <v/>
      </c>
    </row>
    <row r="70" ht="20" customHeight="1">
      <c r="A70" s="28" t="inlineStr">
        <is>
          <t>Март</t>
        </is>
      </c>
      <c r="B70" s="28" t="n">
        <v>57</v>
      </c>
      <c r="C70" s="28" t="n">
        <v>15</v>
      </c>
      <c r="D70" s="29">
        <f>H69</f>
        <v/>
      </c>
      <c r="E70" s="30">
        <f>MIN('Дашборд и Сводка'!$C$9, ROUNDUP(D70/'Дашборд и Сводка'!$C$6, 0)*0.01)</f>
        <v/>
      </c>
      <c r="F70" s="45">
        <f>'Дашборд и Сводка'!$C$7</f>
        <v/>
      </c>
      <c r="G70" s="29">
        <f>E70*F70*'Дашборд и Сводка'!$C$8</f>
        <v/>
      </c>
      <c r="H70" s="29">
        <f>D70+G70</f>
        <v/>
      </c>
    </row>
    <row r="71" ht="20" customHeight="1">
      <c r="A71" s="33" t="inlineStr">
        <is>
          <t>Март</t>
        </is>
      </c>
      <c r="B71" s="33" t="n">
        <v>58</v>
      </c>
      <c r="C71" s="33" t="n">
        <v>16</v>
      </c>
      <c r="D71" s="34">
        <f>H70</f>
        <v/>
      </c>
      <c r="E71" s="35">
        <f>MIN('Дашборд и Сводка'!$C$9, ROUNDUP(D71/'Дашборд и Сводка'!$C$6, 0)*0.01)</f>
        <v/>
      </c>
      <c r="F71" s="46">
        <f>'Дашборд и Сводка'!$C$7</f>
        <v/>
      </c>
      <c r="G71" s="34">
        <f>E71*F71*'Дашборд и Сводка'!$C$8</f>
        <v/>
      </c>
      <c r="H71" s="34">
        <f>D71+G71</f>
        <v/>
      </c>
    </row>
    <row r="72" ht="20" customHeight="1">
      <c r="A72" s="28" t="inlineStr">
        <is>
          <t>Март</t>
        </is>
      </c>
      <c r="B72" s="28" t="n">
        <v>59</v>
      </c>
      <c r="C72" s="28" t="n">
        <v>17</v>
      </c>
      <c r="D72" s="29">
        <f>H71</f>
        <v/>
      </c>
      <c r="E72" s="30">
        <f>MIN('Дашборд и Сводка'!$C$9, ROUNDUP(D72/'Дашборд и Сводка'!$C$6, 0)*0.01)</f>
        <v/>
      </c>
      <c r="F72" s="45">
        <f>'Дашборд и Сводка'!$C$7</f>
        <v/>
      </c>
      <c r="G72" s="29">
        <f>E72*F72*'Дашборд и Сводка'!$C$8</f>
        <v/>
      </c>
      <c r="H72" s="29">
        <f>D72+G72</f>
        <v/>
      </c>
    </row>
    <row r="73" ht="20" customHeight="1">
      <c r="A73" s="33" t="inlineStr">
        <is>
          <t>Март</t>
        </is>
      </c>
      <c r="B73" s="33" t="n">
        <v>60</v>
      </c>
      <c r="C73" s="33" t="n">
        <v>18</v>
      </c>
      <c r="D73" s="34">
        <f>H72</f>
        <v/>
      </c>
      <c r="E73" s="35">
        <f>MIN('Дашборд и Сводка'!$C$9, ROUNDUP(D73/'Дашборд и Сводка'!$C$6, 0)*0.01)</f>
        <v/>
      </c>
      <c r="F73" s="46">
        <f>'Дашборд и Сводка'!$C$7</f>
        <v/>
      </c>
      <c r="G73" s="34">
        <f>E73*F73*'Дашборд и Сводка'!$C$8</f>
        <v/>
      </c>
      <c r="H73" s="34">
        <f>D73+G73</f>
        <v/>
      </c>
    </row>
    <row r="74" ht="20" customHeight="1">
      <c r="A74" s="28" t="inlineStr">
        <is>
          <t>Март</t>
        </is>
      </c>
      <c r="B74" s="28" t="n">
        <v>61</v>
      </c>
      <c r="C74" s="28" t="n">
        <v>19</v>
      </c>
      <c r="D74" s="29">
        <f>H73</f>
        <v/>
      </c>
      <c r="E74" s="30">
        <f>MIN('Дашборд и Сводка'!$C$9, ROUNDUP(D74/'Дашборд и Сводка'!$C$6, 0)*0.01)</f>
        <v/>
      </c>
      <c r="F74" s="45">
        <f>'Дашборд и Сводка'!$C$7</f>
        <v/>
      </c>
      <c r="G74" s="29">
        <f>E74*F74*'Дашборд и Сводка'!$C$8</f>
        <v/>
      </c>
      <c r="H74" s="29">
        <f>D74+G74</f>
        <v/>
      </c>
    </row>
    <row r="75" ht="20" customHeight="1">
      <c r="A75" s="33" t="inlineStr">
        <is>
          <t>Март</t>
        </is>
      </c>
      <c r="B75" s="33" t="n">
        <v>62</v>
      </c>
      <c r="C75" s="33" t="n">
        <v>20</v>
      </c>
      <c r="D75" s="34">
        <f>H74</f>
        <v/>
      </c>
      <c r="E75" s="35">
        <f>MIN('Дашборд и Сводка'!$C$9, ROUNDUP(D75/'Дашборд и Сводка'!$C$6, 0)*0.01)</f>
        <v/>
      </c>
      <c r="F75" s="46">
        <f>'Дашборд и Сводка'!$C$7</f>
        <v/>
      </c>
      <c r="G75" s="34">
        <f>E75*F75*'Дашборд и Сводка'!$C$8</f>
        <v/>
      </c>
      <c r="H75" s="34">
        <f>D75+G75</f>
        <v/>
      </c>
    </row>
    <row r="76" ht="20" customHeight="1">
      <c r="A76" s="28" t="inlineStr">
        <is>
          <t>Март</t>
        </is>
      </c>
      <c r="B76" s="28" t="n">
        <v>63</v>
      </c>
      <c r="C76" s="28" t="n">
        <v>21</v>
      </c>
      <c r="D76" s="29">
        <f>H75</f>
        <v/>
      </c>
      <c r="E76" s="30">
        <f>MIN('Дашборд и Сводка'!$C$9, ROUNDUP(D76/'Дашборд и Сводка'!$C$6, 0)*0.01)</f>
        <v/>
      </c>
      <c r="F76" s="45">
        <f>'Дашборд и Сводка'!$C$7</f>
        <v/>
      </c>
      <c r="G76" s="29">
        <f>E76*F76*'Дашборд и Сводка'!$C$8</f>
        <v/>
      </c>
      <c r="H76" s="29">
        <f>D76+G76</f>
        <v/>
      </c>
    </row>
    <row r="77" ht="20" customHeight="1">
      <c r="A77" s="33" t="inlineStr">
        <is>
          <t>Март</t>
        </is>
      </c>
      <c r="B77" s="33" t="n">
        <v>64</v>
      </c>
      <c r="C77" s="33" t="n">
        <v>22</v>
      </c>
      <c r="D77" s="34">
        <f>H76</f>
        <v/>
      </c>
      <c r="E77" s="35">
        <f>MIN('Дашборд и Сводка'!$C$9, ROUNDUP(D77/'Дашборд и Сводка'!$C$6, 0)*0.01)</f>
        <v/>
      </c>
      <c r="F77" s="46">
        <f>'Дашборд и Сводка'!$C$7</f>
        <v/>
      </c>
      <c r="G77" s="34">
        <f>E77*F77*'Дашборд и Сводка'!$C$8</f>
        <v/>
      </c>
      <c r="H77" s="34">
        <f>D77+G77</f>
        <v/>
      </c>
    </row>
    <row r="78" ht="24" customHeight="1">
      <c r="A78" s="47" t="inlineStr">
        <is>
          <t>ИТОГО ЗА МАРТ:</t>
        </is>
      </c>
      <c r="B78" s="48" t="n"/>
      <c r="C78" s="48" t="n"/>
      <c r="D78" s="49">
        <f>D56</f>
        <v/>
      </c>
      <c r="E78" s="50">
        <f>MAX(E56:E77)</f>
        <v/>
      </c>
      <c r="F78" s="51">
        <f>'Дашборд и Сводка'!$C$7</f>
        <v/>
      </c>
      <c r="G78" s="52">
        <f>SUM(G56:G77)</f>
        <v/>
      </c>
      <c r="H78" s="53">
        <f>H77</f>
        <v/>
      </c>
    </row>
    <row r="80" ht="26" customHeight="1">
      <c r="A80" s="43" t="inlineStr">
        <is>
          <t>МЕСЯЦ 4: АПРЕЛЬ (21 торговых дней)</t>
        </is>
      </c>
    </row>
    <row r="81" ht="24" customHeight="1">
      <c r="A81" s="44" t="inlineStr">
        <is>
          <t>Месяц</t>
        </is>
      </c>
      <c r="B81" s="44" t="inlineStr">
        <is>
          <t>День года</t>
        </is>
      </c>
      <c r="C81" s="44" t="inlineStr">
        <is>
          <t>День месяца</t>
        </is>
      </c>
      <c r="D81" s="44" t="inlineStr">
        <is>
          <t>Начальный депозит ($)</t>
        </is>
      </c>
      <c r="E81" s="44" t="inlineStr">
        <is>
          <t>Размер лота</t>
        </is>
      </c>
      <c r="F81" s="44" t="inlineStr">
        <is>
          <t>Цель (пунктов)</t>
        </is>
      </c>
      <c r="G81" s="44" t="inlineStr">
        <is>
          <t>Прибыль за день ($)</t>
        </is>
      </c>
      <c r="H81" s="44" t="inlineStr">
        <is>
          <t>Итоговый баланс ($)</t>
        </is>
      </c>
    </row>
    <row r="82" ht="20" customHeight="1">
      <c r="A82" s="28" t="inlineStr">
        <is>
          <t>Апрель</t>
        </is>
      </c>
      <c r="B82" s="28" t="n">
        <v>65</v>
      </c>
      <c r="C82" s="28" t="n">
        <v>1</v>
      </c>
      <c r="D82" s="29">
        <f>H77</f>
        <v/>
      </c>
      <c r="E82" s="30">
        <f>MIN('Дашборд и Сводка'!$C$9, ROUNDUP(D82/'Дашборд и Сводка'!$C$6, 0)*0.01)</f>
        <v/>
      </c>
      <c r="F82" s="45">
        <f>'Дашборд и Сводка'!$C$7</f>
        <v/>
      </c>
      <c r="G82" s="29">
        <f>E82*F82*'Дашборд и Сводка'!$C$8</f>
        <v/>
      </c>
      <c r="H82" s="29">
        <f>D82+G82</f>
        <v/>
      </c>
    </row>
    <row r="83" ht="20" customHeight="1">
      <c r="A83" s="33" t="inlineStr">
        <is>
          <t>Апрель</t>
        </is>
      </c>
      <c r="B83" s="33" t="n">
        <v>66</v>
      </c>
      <c r="C83" s="33" t="n">
        <v>2</v>
      </c>
      <c r="D83" s="34">
        <f>H82</f>
        <v/>
      </c>
      <c r="E83" s="35">
        <f>MIN('Дашборд и Сводка'!$C$9, ROUNDUP(D83/'Дашборд и Сводка'!$C$6, 0)*0.01)</f>
        <v/>
      </c>
      <c r="F83" s="46">
        <f>'Дашборд и Сводка'!$C$7</f>
        <v/>
      </c>
      <c r="G83" s="34">
        <f>E83*F83*'Дашборд и Сводка'!$C$8</f>
        <v/>
      </c>
      <c r="H83" s="34">
        <f>D83+G83</f>
        <v/>
      </c>
    </row>
    <row r="84" ht="20" customHeight="1">
      <c r="A84" s="28" t="inlineStr">
        <is>
          <t>Апрель</t>
        </is>
      </c>
      <c r="B84" s="28" t="n">
        <v>67</v>
      </c>
      <c r="C84" s="28" t="n">
        <v>3</v>
      </c>
      <c r="D84" s="29">
        <f>H83</f>
        <v/>
      </c>
      <c r="E84" s="30">
        <f>MIN('Дашборд и Сводка'!$C$9, ROUNDUP(D84/'Дашборд и Сводка'!$C$6, 0)*0.01)</f>
        <v/>
      </c>
      <c r="F84" s="45">
        <f>'Дашборд и Сводка'!$C$7</f>
        <v/>
      </c>
      <c r="G84" s="29">
        <f>E84*F84*'Дашборд и Сводка'!$C$8</f>
        <v/>
      </c>
      <c r="H84" s="29">
        <f>D84+G84</f>
        <v/>
      </c>
    </row>
    <row r="85" ht="20" customHeight="1">
      <c r="A85" s="33" t="inlineStr">
        <is>
          <t>Апрель</t>
        </is>
      </c>
      <c r="B85" s="33" t="n">
        <v>68</v>
      </c>
      <c r="C85" s="33" t="n">
        <v>4</v>
      </c>
      <c r="D85" s="34">
        <f>H84</f>
        <v/>
      </c>
      <c r="E85" s="35">
        <f>MIN('Дашборд и Сводка'!$C$9, ROUNDUP(D85/'Дашборд и Сводка'!$C$6, 0)*0.01)</f>
        <v/>
      </c>
      <c r="F85" s="46">
        <f>'Дашборд и Сводка'!$C$7</f>
        <v/>
      </c>
      <c r="G85" s="34">
        <f>E85*F85*'Дашборд и Сводка'!$C$8</f>
        <v/>
      </c>
      <c r="H85" s="34">
        <f>D85+G85</f>
        <v/>
      </c>
    </row>
    <row r="86" ht="20" customHeight="1">
      <c r="A86" s="28" t="inlineStr">
        <is>
          <t>Апрель</t>
        </is>
      </c>
      <c r="B86" s="28" t="n">
        <v>69</v>
      </c>
      <c r="C86" s="28" t="n">
        <v>5</v>
      </c>
      <c r="D86" s="29">
        <f>H85</f>
        <v/>
      </c>
      <c r="E86" s="30">
        <f>MIN('Дашборд и Сводка'!$C$9, ROUNDUP(D86/'Дашборд и Сводка'!$C$6, 0)*0.01)</f>
        <v/>
      </c>
      <c r="F86" s="45">
        <f>'Дашборд и Сводка'!$C$7</f>
        <v/>
      </c>
      <c r="G86" s="29">
        <f>E86*F86*'Дашборд и Сводка'!$C$8</f>
        <v/>
      </c>
      <c r="H86" s="29">
        <f>D86+G86</f>
        <v/>
      </c>
    </row>
    <row r="87" ht="20" customHeight="1">
      <c r="A87" s="33" t="inlineStr">
        <is>
          <t>Апрель</t>
        </is>
      </c>
      <c r="B87" s="33" t="n">
        <v>70</v>
      </c>
      <c r="C87" s="33" t="n">
        <v>6</v>
      </c>
      <c r="D87" s="34">
        <f>H86</f>
        <v/>
      </c>
      <c r="E87" s="35">
        <f>MIN('Дашборд и Сводка'!$C$9, ROUNDUP(D87/'Дашборд и Сводка'!$C$6, 0)*0.01)</f>
        <v/>
      </c>
      <c r="F87" s="46">
        <f>'Дашборд и Сводка'!$C$7</f>
        <v/>
      </c>
      <c r="G87" s="34">
        <f>E87*F87*'Дашборд и Сводка'!$C$8</f>
        <v/>
      </c>
      <c r="H87" s="34">
        <f>D87+G87</f>
        <v/>
      </c>
    </row>
    <row r="88" ht="20" customHeight="1">
      <c r="A88" s="28" t="inlineStr">
        <is>
          <t>Апрель</t>
        </is>
      </c>
      <c r="B88" s="28" t="n">
        <v>71</v>
      </c>
      <c r="C88" s="28" t="n">
        <v>7</v>
      </c>
      <c r="D88" s="29">
        <f>H87</f>
        <v/>
      </c>
      <c r="E88" s="30">
        <f>MIN('Дашборд и Сводка'!$C$9, ROUNDUP(D88/'Дашборд и Сводка'!$C$6, 0)*0.01)</f>
        <v/>
      </c>
      <c r="F88" s="45">
        <f>'Дашборд и Сводка'!$C$7</f>
        <v/>
      </c>
      <c r="G88" s="29">
        <f>E88*F88*'Дашборд и Сводка'!$C$8</f>
        <v/>
      </c>
      <c r="H88" s="29">
        <f>D88+G88</f>
        <v/>
      </c>
    </row>
    <row r="89" ht="20" customHeight="1">
      <c r="A89" s="33" t="inlineStr">
        <is>
          <t>Апрель</t>
        </is>
      </c>
      <c r="B89" s="33" t="n">
        <v>72</v>
      </c>
      <c r="C89" s="33" t="n">
        <v>8</v>
      </c>
      <c r="D89" s="34">
        <f>H88</f>
        <v/>
      </c>
      <c r="E89" s="35">
        <f>MIN('Дашборд и Сводка'!$C$9, ROUNDUP(D89/'Дашборд и Сводка'!$C$6, 0)*0.01)</f>
        <v/>
      </c>
      <c r="F89" s="46">
        <f>'Дашборд и Сводка'!$C$7</f>
        <v/>
      </c>
      <c r="G89" s="34">
        <f>E89*F89*'Дашборд и Сводка'!$C$8</f>
        <v/>
      </c>
      <c r="H89" s="34">
        <f>D89+G89</f>
        <v/>
      </c>
    </row>
    <row r="90" ht="20" customHeight="1">
      <c r="A90" s="28" t="inlineStr">
        <is>
          <t>Апрель</t>
        </is>
      </c>
      <c r="B90" s="28" t="n">
        <v>73</v>
      </c>
      <c r="C90" s="28" t="n">
        <v>9</v>
      </c>
      <c r="D90" s="29">
        <f>H89</f>
        <v/>
      </c>
      <c r="E90" s="30">
        <f>MIN('Дашборд и Сводка'!$C$9, ROUNDUP(D90/'Дашборд и Сводка'!$C$6, 0)*0.01)</f>
        <v/>
      </c>
      <c r="F90" s="45">
        <f>'Дашборд и Сводка'!$C$7</f>
        <v/>
      </c>
      <c r="G90" s="29">
        <f>E90*F90*'Дашборд и Сводка'!$C$8</f>
        <v/>
      </c>
      <c r="H90" s="29">
        <f>D90+G90</f>
        <v/>
      </c>
    </row>
    <row r="91" ht="20" customHeight="1">
      <c r="A91" s="33" t="inlineStr">
        <is>
          <t>Апрель</t>
        </is>
      </c>
      <c r="B91" s="33" t="n">
        <v>74</v>
      </c>
      <c r="C91" s="33" t="n">
        <v>10</v>
      </c>
      <c r="D91" s="34">
        <f>H90</f>
        <v/>
      </c>
      <c r="E91" s="35">
        <f>MIN('Дашборд и Сводка'!$C$9, ROUNDUP(D91/'Дашборд и Сводка'!$C$6, 0)*0.01)</f>
        <v/>
      </c>
      <c r="F91" s="46">
        <f>'Дашборд и Сводка'!$C$7</f>
        <v/>
      </c>
      <c r="G91" s="34">
        <f>E91*F91*'Дашборд и Сводка'!$C$8</f>
        <v/>
      </c>
      <c r="H91" s="34">
        <f>D91+G91</f>
        <v/>
      </c>
    </row>
    <row r="92" ht="20" customHeight="1">
      <c r="A92" s="28" t="inlineStr">
        <is>
          <t>Апрель</t>
        </is>
      </c>
      <c r="B92" s="28" t="n">
        <v>75</v>
      </c>
      <c r="C92" s="28" t="n">
        <v>11</v>
      </c>
      <c r="D92" s="29">
        <f>H91</f>
        <v/>
      </c>
      <c r="E92" s="30">
        <f>MIN('Дашборд и Сводка'!$C$9, ROUNDUP(D92/'Дашборд и Сводка'!$C$6, 0)*0.01)</f>
        <v/>
      </c>
      <c r="F92" s="45">
        <f>'Дашборд и Сводка'!$C$7</f>
        <v/>
      </c>
      <c r="G92" s="29">
        <f>E92*F92*'Дашборд и Сводка'!$C$8</f>
        <v/>
      </c>
      <c r="H92" s="29">
        <f>D92+G92</f>
        <v/>
      </c>
    </row>
    <row r="93" ht="20" customHeight="1">
      <c r="A93" s="33" t="inlineStr">
        <is>
          <t>Апрель</t>
        </is>
      </c>
      <c r="B93" s="33" t="n">
        <v>76</v>
      </c>
      <c r="C93" s="33" t="n">
        <v>12</v>
      </c>
      <c r="D93" s="34">
        <f>H92</f>
        <v/>
      </c>
      <c r="E93" s="35">
        <f>MIN('Дашборд и Сводка'!$C$9, ROUNDUP(D93/'Дашборд и Сводка'!$C$6, 0)*0.01)</f>
        <v/>
      </c>
      <c r="F93" s="46">
        <f>'Дашборд и Сводка'!$C$7</f>
        <v/>
      </c>
      <c r="G93" s="34">
        <f>E93*F93*'Дашборд и Сводка'!$C$8</f>
        <v/>
      </c>
      <c r="H93" s="34">
        <f>D93+G93</f>
        <v/>
      </c>
    </row>
    <row r="94" ht="20" customHeight="1">
      <c r="A94" s="28" t="inlineStr">
        <is>
          <t>Апрель</t>
        </is>
      </c>
      <c r="B94" s="28" t="n">
        <v>77</v>
      </c>
      <c r="C94" s="28" t="n">
        <v>13</v>
      </c>
      <c r="D94" s="29">
        <f>H93</f>
        <v/>
      </c>
      <c r="E94" s="30">
        <f>MIN('Дашборд и Сводка'!$C$9, ROUNDUP(D94/'Дашборд и Сводка'!$C$6, 0)*0.01)</f>
        <v/>
      </c>
      <c r="F94" s="45">
        <f>'Дашборд и Сводка'!$C$7</f>
        <v/>
      </c>
      <c r="G94" s="29">
        <f>E94*F94*'Дашборд и Сводка'!$C$8</f>
        <v/>
      </c>
      <c r="H94" s="29">
        <f>D94+G94</f>
        <v/>
      </c>
    </row>
    <row r="95" ht="20" customHeight="1">
      <c r="A95" s="33" t="inlineStr">
        <is>
          <t>Апрель</t>
        </is>
      </c>
      <c r="B95" s="33" t="n">
        <v>78</v>
      </c>
      <c r="C95" s="33" t="n">
        <v>14</v>
      </c>
      <c r="D95" s="34">
        <f>H94</f>
        <v/>
      </c>
      <c r="E95" s="35">
        <f>MIN('Дашборд и Сводка'!$C$9, ROUNDUP(D95/'Дашборд и Сводка'!$C$6, 0)*0.01)</f>
        <v/>
      </c>
      <c r="F95" s="46">
        <f>'Дашборд и Сводка'!$C$7</f>
        <v/>
      </c>
      <c r="G95" s="34">
        <f>E95*F95*'Дашборд и Сводка'!$C$8</f>
        <v/>
      </c>
      <c r="H95" s="34">
        <f>D95+G95</f>
        <v/>
      </c>
    </row>
    <row r="96" ht="20" customHeight="1">
      <c r="A96" s="28" t="inlineStr">
        <is>
          <t>Апрель</t>
        </is>
      </c>
      <c r="B96" s="28" t="n">
        <v>79</v>
      </c>
      <c r="C96" s="28" t="n">
        <v>15</v>
      </c>
      <c r="D96" s="29">
        <f>H95</f>
        <v/>
      </c>
      <c r="E96" s="30">
        <f>MIN('Дашборд и Сводка'!$C$9, ROUNDUP(D96/'Дашборд и Сводка'!$C$6, 0)*0.01)</f>
        <v/>
      </c>
      <c r="F96" s="45">
        <f>'Дашборд и Сводка'!$C$7</f>
        <v/>
      </c>
      <c r="G96" s="29">
        <f>E96*F96*'Дашборд и Сводка'!$C$8</f>
        <v/>
      </c>
      <c r="H96" s="29">
        <f>D96+G96</f>
        <v/>
      </c>
    </row>
    <row r="97" ht="20" customHeight="1">
      <c r="A97" s="33" t="inlineStr">
        <is>
          <t>Апрель</t>
        </is>
      </c>
      <c r="B97" s="33" t="n">
        <v>80</v>
      </c>
      <c r="C97" s="33" t="n">
        <v>16</v>
      </c>
      <c r="D97" s="34">
        <f>H96</f>
        <v/>
      </c>
      <c r="E97" s="35">
        <f>MIN('Дашборд и Сводка'!$C$9, ROUNDUP(D97/'Дашборд и Сводка'!$C$6, 0)*0.01)</f>
        <v/>
      </c>
      <c r="F97" s="46">
        <f>'Дашборд и Сводка'!$C$7</f>
        <v/>
      </c>
      <c r="G97" s="34">
        <f>E97*F97*'Дашборд и Сводка'!$C$8</f>
        <v/>
      </c>
      <c r="H97" s="34">
        <f>D97+G97</f>
        <v/>
      </c>
    </row>
    <row r="98" ht="20" customHeight="1">
      <c r="A98" s="28" t="inlineStr">
        <is>
          <t>Апрель</t>
        </is>
      </c>
      <c r="B98" s="28" t="n">
        <v>81</v>
      </c>
      <c r="C98" s="28" t="n">
        <v>17</v>
      </c>
      <c r="D98" s="29">
        <f>H97</f>
        <v/>
      </c>
      <c r="E98" s="30">
        <f>MIN('Дашборд и Сводка'!$C$9, ROUNDUP(D98/'Дашборд и Сводка'!$C$6, 0)*0.01)</f>
        <v/>
      </c>
      <c r="F98" s="45">
        <f>'Дашборд и Сводка'!$C$7</f>
        <v/>
      </c>
      <c r="G98" s="29">
        <f>E98*F98*'Дашборд и Сводка'!$C$8</f>
        <v/>
      </c>
      <c r="H98" s="29">
        <f>D98+G98</f>
        <v/>
      </c>
    </row>
    <row r="99" ht="20" customHeight="1">
      <c r="A99" s="33" t="inlineStr">
        <is>
          <t>Апрель</t>
        </is>
      </c>
      <c r="B99" s="33" t="n">
        <v>82</v>
      </c>
      <c r="C99" s="33" t="n">
        <v>18</v>
      </c>
      <c r="D99" s="34">
        <f>H98</f>
        <v/>
      </c>
      <c r="E99" s="35">
        <f>MIN('Дашборд и Сводка'!$C$9, ROUNDUP(D99/'Дашборд и Сводка'!$C$6, 0)*0.01)</f>
        <v/>
      </c>
      <c r="F99" s="46">
        <f>'Дашборд и Сводка'!$C$7</f>
        <v/>
      </c>
      <c r="G99" s="34">
        <f>E99*F99*'Дашборд и Сводка'!$C$8</f>
        <v/>
      </c>
      <c r="H99" s="34">
        <f>D99+G99</f>
        <v/>
      </c>
    </row>
    <row r="100" ht="20" customHeight="1">
      <c r="A100" s="28" t="inlineStr">
        <is>
          <t>Апрель</t>
        </is>
      </c>
      <c r="B100" s="28" t="n">
        <v>83</v>
      </c>
      <c r="C100" s="28" t="n">
        <v>19</v>
      </c>
      <c r="D100" s="29">
        <f>H99</f>
        <v/>
      </c>
      <c r="E100" s="30">
        <f>MIN('Дашборд и Сводка'!$C$9, ROUNDUP(D100/'Дашборд и Сводка'!$C$6, 0)*0.01)</f>
        <v/>
      </c>
      <c r="F100" s="45">
        <f>'Дашборд и Сводка'!$C$7</f>
        <v/>
      </c>
      <c r="G100" s="29">
        <f>E100*F100*'Дашборд и Сводка'!$C$8</f>
        <v/>
      </c>
      <c r="H100" s="29">
        <f>D100+G100</f>
        <v/>
      </c>
    </row>
    <row r="101" ht="20" customHeight="1">
      <c r="A101" s="33" t="inlineStr">
        <is>
          <t>Апрель</t>
        </is>
      </c>
      <c r="B101" s="33" t="n">
        <v>84</v>
      </c>
      <c r="C101" s="33" t="n">
        <v>20</v>
      </c>
      <c r="D101" s="34">
        <f>H100</f>
        <v/>
      </c>
      <c r="E101" s="35">
        <f>MIN('Дашборд и Сводка'!$C$9, ROUNDUP(D101/'Дашборд и Сводка'!$C$6, 0)*0.01)</f>
        <v/>
      </c>
      <c r="F101" s="46">
        <f>'Дашборд и Сводка'!$C$7</f>
        <v/>
      </c>
      <c r="G101" s="34">
        <f>E101*F101*'Дашборд и Сводка'!$C$8</f>
        <v/>
      </c>
      <c r="H101" s="34">
        <f>D101+G101</f>
        <v/>
      </c>
    </row>
    <row r="102" ht="20" customHeight="1">
      <c r="A102" s="28" t="inlineStr">
        <is>
          <t>Апрель</t>
        </is>
      </c>
      <c r="B102" s="28" t="n">
        <v>85</v>
      </c>
      <c r="C102" s="28" t="n">
        <v>21</v>
      </c>
      <c r="D102" s="29">
        <f>H101</f>
        <v/>
      </c>
      <c r="E102" s="30">
        <f>MIN('Дашборд и Сводка'!$C$9, ROUNDUP(D102/'Дашборд и Сводка'!$C$6, 0)*0.01)</f>
        <v/>
      </c>
      <c r="F102" s="45">
        <f>'Дашборд и Сводка'!$C$7</f>
        <v/>
      </c>
      <c r="G102" s="29">
        <f>E102*F102*'Дашборд и Сводка'!$C$8</f>
        <v/>
      </c>
      <c r="H102" s="29">
        <f>D102+G102</f>
        <v/>
      </c>
    </row>
    <row r="103" ht="24" customHeight="1">
      <c r="A103" s="47" t="inlineStr">
        <is>
          <t>ИТОГО ЗА АПРЕЛЬ:</t>
        </is>
      </c>
      <c r="B103" s="48" t="n"/>
      <c r="C103" s="48" t="n"/>
      <c r="D103" s="49">
        <f>D82</f>
        <v/>
      </c>
      <c r="E103" s="50">
        <f>MAX(E82:E102)</f>
        <v/>
      </c>
      <c r="F103" s="51">
        <f>'Дашборд и Сводка'!$C$7</f>
        <v/>
      </c>
      <c r="G103" s="52">
        <f>SUM(G82:G102)</f>
        <v/>
      </c>
      <c r="H103" s="53">
        <f>H102</f>
        <v/>
      </c>
    </row>
    <row r="105" ht="26" customHeight="1">
      <c r="A105" s="43" t="inlineStr">
        <is>
          <t>МЕСЯЦ 5: МАЙ (22 торговых дней)</t>
        </is>
      </c>
    </row>
    <row r="106" ht="24" customHeight="1">
      <c r="A106" s="44" t="inlineStr">
        <is>
          <t>Месяц</t>
        </is>
      </c>
      <c r="B106" s="44" t="inlineStr">
        <is>
          <t>День года</t>
        </is>
      </c>
      <c r="C106" s="44" t="inlineStr">
        <is>
          <t>День месяца</t>
        </is>
      </c>
      <c r="D106" s="44" t="inlineStr">
        <is>
          <t>Начальный депозит ($)</t>
        </is>
      </c>
      <c r="E106" s="44" t="inlineStr">
        <is>
          <t>Размер лота</t>
        </is>
      </c>
      <c r="F106" s="44" t="inlineStr">
        <is>
          <t>Цель (пунктов)</t>
        </is>
      </c>
      <c r="G106" s="44" t="inlineStr">
        <is>
          <t>Прибыль за день ($)</t>
        </is>
      </c>
      <c r="H106" s="44" t="inlineStr">
        <is>
          <t>Итоговый баланс ($)</t>
        </is>
      </c>
    </row>
    <row r="107" ht="20" customHeight="1">
      <c r="A107" s="28" t="inlineStr">
        <is>
          <t>Май</t>
        </is>
      </c>
      <c r="B107" s="28" t="n">
        <v>86</v>
      </c>
      <c r="C107" s="28" t="n">
        <v>1</v>
      </c>
      <c r="D107" s="29">
        <f>H102</f>
        <v/>
      </c>
      <c r="E107" s="30">
        <f>MIN('Дашборд и Сводка'!$C$9, ROUNDUP(D107/'Дашборд и Сводка'!$C$6, 0)*0.01)</f>
        <v/>
      </c>
      <c r="F107" s="45">
        <f>'Дашборд и Сводка'!$C$7</f>
        <v/>
      </c>
      <c r="G107" s="29">
        <f>E107*F107*'Дашборд и Сводка'!$C$8</f>
        <v/>
      </c>
      <c r="H107" s="29">
        <f>D107+G107</f>
        <v/>
      </c>
    </row>
    <row r="108" ht="20" customHeight="1">
      <c r="A108" s="33" t="inlineStr">
        <is>
          <t>Май</t>
        </is>
      </c>
      <c r="B108" s="33" t="n">
        <v>87</v>
      </c>
      <c r="C108" s="33" t="n">
        <v>2</v>
      </c>
      <c r="D108" s="34">
        <f>H107</f>
        <v/>
      </c>
      <c r="E108" s="35">
        <f>MIN('Дашборд и Сводка'!$C$9, ROUNDUP(D108/'Дашборд и Сводка'!$C$6, 0)*0.01)</f>
        <v/>
      </c>
      <c r="F108" s="46">
        <f>'Дашборд и Сводка'!$C$7</f>
        <v/>
      </c>
      <c r="G108" s="34">
        <f>E108*F108*'Дашборд и Сводка'!$C$8</f>
        <v/>
      </c>
      <c r="H108" s="34">
        <f>D108+G108</f>
        <v/>
      </c>
    </row>
    <row r="109" ht="20" customHeight="1">
      <c r="A109" s="28" t="inlineStr">
        <is>
          <t>Май</t>
        </is>
      </c>
      <c r="B109" s="28" t="n">
        <v>88</v>
      </c>
      <c r="C109" s="28" t="n">
        <v>3</v>
      </c>
      <c r="D109" s="29">
        <f>H108</f>
        <v/>
      </c>
      <c r="E109" s="30">
        <f>MIN('Дашборд и Сводка'!$C$9, ROUNDUP(D109/'Дашборд и Сводка'!$C$6, 0)*0.01)</f>
        <v/>
      </c>
      <c r="F109" s="45">
        <f>'Дашборд и Сводка'!$C$7</f>
        <v/>
      </c>
      <c r="G109" s="29">
        <f>E109*F109*'Дашборд и Сводка'!$C$8</f>
        <v/>
      </c>
      <c r="H109" s="29">
        <f>D109+G109</f>
        <v/>
      </c>
    </row>
    <row r="110" ht="20" customHeight="1">
      <c r="A110" s="33" t="inlineStr">
        <is>
          <t>Май</t>
        </is>
      </c>
      <c r="B110" s="33" t="n">
        <v>89</v>
      </c>
      <c r="C110" s="33" t="n">
        <v>4</v>
      </c>
      <c r="D110" s="34">
        <f>H109</f>
        <v/>
      </c>
      <c r="E110" s="35">
        <f>MIN('Дашборд и Сводка'!$C$9, ROUNDUP(D110/'Дашборд и Сводка'!$C$6, 0)*0.01)</f>
        <v/>
      </c>
      <c r="F110" s="46">
        <f>'Дашборд и Сводка'!$C$7</f>
        <v/>
      </c>
      <c r="G110" s="34">
        <f>E110*F110*'Дашборд и Сводка'!$C$8</f>
        <v/>
      </c>
      <c r="H110" s="34">
        <f>D110+G110</f>
        <v/>
      </c>
    </row>
    <row r="111" ht="20" customHeight="1">
      <c r="A111" s="28" t="inlineStr">
        <is>
          <t>Май</t>
        </is>
      </c>
      <c r="B111" s="28" t="n">
        <v>90</v>
      </c>
      <c r="C111" s="28" t="n">
        <v>5</v>
      </c>
      <c r="D111" s="29">
        <f>H110</f>
        <v/>
      </c>
      <c r="E111" s="30">
        <f>MIN('Дашборд и Сводка'!$C$9, ROUNDUP(D111/'Дашборд и Сводка'!$C$6, 0)*0.01)</f>
        <v/>
      </c>
      <c r="F111" s="45">
        <f>'Дашборд и Сводка'!$C$7</f>
        <v/>
      </c>
      <c r="G111" s="29">
        <f>E111*F111*'Дашборд и Сводка'!$C$8</f>
        <v/>
      </c>
      <c r="H111" s="29">
        <f>D111+G111</f>
        <v/>
      </c>
    </row>
    <row r="112" ht="20" customHeight="1">
      <c r="A112" s="33" t="inlineStr">
        <is>
          <t>Май</t>
        </is>
      </c>
      <c r="B112" s="33" t="n">
        <v>91</v>
      </c>
      <c r="C112" s="33" t="n">
        <v>6</v>
      </c>
      <c r="D112" s="34">
        <f>H111</f>
        <v/>
      </c>
      <c r="E112" s="35">
        <f>MIN('Дашборд и Сводка'!$C$9, ROUNDUP(D112/'Дашборд и Сводка'!$C$6, 0)*0.01)</f>
        <v/>
      </c>
      <c r="F112" s="46">
        <f>'Дашборд и Сводка'!$C$7</f>
        <v/>
      </c>
      <c r="G112" s="34">
        <f>E112*F112*'Дашборд и Сводка'!$C$8</f>
        <v/>
      </c>
      <c r="H112" s="34">
        <f>D112+G112</f>
        <v/>
      </c>
    </row>
    <row r="113" ht="20" customHeight="1">
      <c r="A113" s="28" t="inlineStr">
        <is>
          <t>Май</t>
        </is>
      </c>
      <c r="B113" s="28" t="n">
        <v>92</v>
      </c>
      <c r="C113" s="28" t="n">
        <v>7</v>
      </c>
      <c r="D113" s="29">
        <f>H112</f>
        <v/>
      </c>
      <c r="E113" s="30">
        <f>MIN('Дашборд и Сводка'!$C$9, ROUNDUP(D113/'Дашборд и Сводка'!$C$6, 0)*0.01)</f>
        <v/>
      </c>
      <c r="F113" s="45">
        <f>'Дашборд и Сводка'!$C$7</f>
        <v/>
      </c>
      <c r="G113" s="29">
        <f>E113*F113*'Дашборд и Сводка'!$C$8</f>
        <v/>
      </c>
      <c r="H113" s="29">
        <f>D113+G113</f>
        <v/>
      </c>
    </row>
    <row r="114" ht="20" customHeight="1">
      <c r="A114" s="33" t="inlineStr">
        <is>
          <t>Май</t>
        </is>
      </c>
      <c r="B114" s="33" t="n">
        <v>93</v>
      </c>
      <c r="C114" s="33" t="n">
        <v>8</v>
      </c>
      <c r="D114" s="34">
        <f>H113</f>
        <v/>
      </c>
      <c r="E114" s="35">
        <f>MIN('Дашборд и Сводка'!$C$9, ROUNDUP(D114/'Дашборд и Сводка'!$C$6, 0)*0.01)</f>
        <v/>
      </c>
      <c r="F114" s="46">
        <f>'Дашборд и Сводка'!$C$7</f>
        <v/>
      </c>
      <c r="G114" s="34">
        <f>E114*F114*'Дашборд и Сводка'!$C$8</f>
        <v/>
      </c>
      <c r="H114" s="34">
        <f>D114+G114</f>
        <v/>
      </c>
    </row>
    <row r="115" ht="20" customHeight="1">
      <c r="A115" s="28" t="inlineStr">
        <is>
          <t>Май</t>
        </is>
      </c>
      <c r="B115" s="28" t="n">
        <v>94</v>
      </c>
      <c r="C115" s="28" t="n">
        <v>9</v>
      </c>
      <c r="D115" s="29">
        <f>H114</f>
        <v/>
      </c>
      <c r="E115" s="30">
        <f>MIN('Дашборд и Сводка'!$C$9, ROUNDUP(D115/'Дашборд и Сводка'!$C$6, 0)*0.01)</f>
        <v/>
      </c>
      <c r="F115" s="45">
        <f>'Дашборд и Сводка'!$C$7</f>
        <v/>
      </c>
      <c r="G115" s="29">
        <f>E115*F115*'Дашборд и Сводка'!$C$8</f>
        <v/>
      </c>
      <c r="H115" s="29">
        <f>D115+G115</f>
        <v/>
      </c>
    </row>
    <row r="116" ht="20" customHeight="1">
      <c r="A116" s="33" t="inlineStr">
        <is>
          <t>Май</t>
        </is>
      </c>
      <c r="B116" s="33" t="n">
        <v>95</v>
      </c>
      <c r="C116" s="33" t="n">
        <v>10</v>
      </c>
      <c r="D116" s="34">
        <f>H115</f>
        <v/>
      </c>
      <c r="E116" s="35">
        <f>MIN('Дашборд и Сводка'!$C$9, ROUNDUP(D116/'Дашборд и Сводка'!$C$6, 0)*0.01)</f>
        <v/>
      </c>
      <c r="F116" s="46">
        <f>'Дашборд и Сводка'!$C$7</f>
        <v/>
      </c>
      <c r="G116" s="34">
        <f>E116*F116*'Дашборд и Сводка'!$C$8</f>
        <v/>
      </c>
      <c r="H116" s="34">
        <f>D116+G116</f>
        <v/>
      </c>
    </row>
    <row r="117" ht="20" customHeight="1">
      <c r="A117" s="28" t="inlineStr">
        <is>
          <t>Май</t>
        </is>
      </c>
      <c r="B117" s="28" t="n">
        <v>96</v>
      </c>
      <c r="C117" s="28" t="n">
        <v>11</v>
      </c>
      <c r="D117" s="29">
        <f>H116</f>
        <v/>
      </c>
      <c r="E117" s="30">
        <f>MIN('Дашборд и Сводка'!$C$9, ROUNDUP(D117/'Дашборд и Сводка'!$C$6, 0)*0.01)</f>
        <v/>
      </c>
      <c r="F117" s="45">
        <f>'Дашборд и Сводка'!$C$7</f>
        <v/>
      </c>
      <c r="G117" s="29">
        <f>E117*F117*'Дашборд и Сводка'!$C$8</f>
        <v/>
      </c>
      <c r="H117" s="29">
        <f>D117+G117</f>
        <v/>
      </c>
    </row>
    <row r="118" ht="20" customHeight="1">
      <c r="A118" s="33" t="inlineStr">
        <is>
          <t>Май</t>
        </is>
      </c>
      <c r="B118" s="33" t="n">
        <v>97</v>
      </c>
      <c r="C118" s="33" t="n">
        <v>12</v>
      </c>
      <c r="D118" s="34">
        <f>H117</f>
        <v/>
      </c>
      <c r="E118" s="35">
        <f>MIN('Дашборд и Сводка'!$C$9, ROUNDUP(D118/'Дашборд и Сводка'!$C$6, 0)*0.01)</f>
        <v/>
      </c>
      <c r="F118" s="46">
        <f>'Дашборд и Сводка'!$C$7</f>
        <v/>
      </c>
      <c r="G118" s="34">
        <f>E118*F118*'Дашборд и Сводка'!$C$8</f>
        <v/>
      </c>
      <c r="H118" s="34">
        <f>D118+G118</f>
        <v/>
      </c>
    </row>
    <row r="119" ht="20" customHeight="1">
      <c r="A119" s="28" t="inlineStr">
        <is>
          <t>Май</t>
        </is>
      </c>
      <c r="B119" s="28" t="n">
        <v>98</v>
      </c>
      <c r="C119" s="28" t="n">
        <v>13</v>
      </c>
      <c r="D119" s="29">
        <f>H118</f>
        <v/>
      </c>
      <c r="E119" s="30">
        <f>MIN('Дашборд и Сводка'!$C$9, ROUNDUP(D119/'Дашборд и Сводка'!$C$6, 0)*0.01)</f>
        <v/>
      </c>
      <c r="F119" s="45">
        <f>'Дашборд и Сводка'!$C$7</f>
        <v/>
      </c>
      <c r="G119" s="29">
        <f>E119*F119*'Дашборд и Сводка'!$C$8</f>
        <v/>
      </c>
      <c r="H119" s="29">
        <f>D119+G119</f>
        <v/>
      </c>
    </row>
    <row r="120" ht="20" customHeight="1">
      <c r="A120" s="33" t="inlineStr">
        <is>
          <t>Май</t>
        </is>
      </c>
      <c r="B120" s="33" t="n">
        <v>99</v>
      </c>
      <c r="C120" s="33" t="n">
        <v>14</v>
      </c>
      <c r="D120" s="34">
        <f>H119</f>
        <v/>
      </c>
      <c r="E120" s="35">
        <f>MIN('Дашборд и Сводка'!$C$9, ROUNDUP(D120/'Дашборд и Сводка'!$C$6, 0)*0.01)</f>
        <v/>
      </c>
      <c r="F120" s="46">
        <f>'Дашборд и Сводка'!$C$7</f>
        <v/>
      </c>
      <c r="G120" s="34">
        <f>E120*F120*'Дашборд и Сводка'!$C$8</f>
        <v/>
      </c>
      <c r="H120" s="34">
        <f>D120+G120</f>
        <v/>
      </c>
    </row>
    <row r="121" ht="20" customHeight="1">
      <c r="A121" s="28" t="inlineStr">
        <is>
          <t>Май</t>
        </is>
      </c>
      <c r="B121" s="28" t="n">
        <v>100</v>
      </c>
      <c r="C121" s="28" t="n">
        <v>15</v>
      </c>
      <c r="D121" s="29">
        <f>H120</f>
        <v/>
      </c>
      <c r="E121" s="30">
        <f>MIN('Дашборд и Сводка'!$C$9, ROUNDUP(D121/'Дашборд и Сводка'!$C$6, 0)*0.01)</f>
        <v/>
      </c>
      <c r="F121" s="45">
        <f>'Дашборд и Сводка'!$C$7</f>
        <v/>
      </c>
      <c r="G121" s="29">
        <f>E121*F121*'Дашборд и Сводка'!$C$8</f>
        <v/>
      </c>
      <c r="H121" s="29">
        <f>D121+G121</f>
        <v/>
      </c>
    </row>
    <row r="122" ht="20" customHeight="1">
      <c r="A122" s="33" t="inlineStr">
        <is>
          <t>Май</t>
        </is>
      </c>
      <c r="B122" s="33" t="n">
        <v>101</v>
      </c>
      <c r="C122" s="33" t="n">
        <v>16</v>
      </c>
      <c r="D122" s="34">
        <f>H121</f>
        <v/>
      </c>
      <c r="E122" s="35">
        <f>MIN('Дашборд и Сводка'!$C$9, ROUNDUP(D122/'Дашборд и Сводка'!$C$6, 0)*0.01)</f>
        <v/>
      </c>
      <c r="F122" s="46">
        <f>'Дашборд и Сводка'!$C$7</f>
        <v/>
      </c>
      <c r="G122" s="34">
        <f>E122*F122*'Дашборд и Сводка'!$C$8</f>
        <v/>
      </c>
      <c r="H122" s="34">
        <f>D122+G122</f>
        <v/>
      </c>
    </row>
    <row r="123" ht="20" customHeight="1">
      <c r="A123" s="28" t="inlineStr">
        <is>
          <t>Май</t>
        </is>
      </c>
      <c r="B123" s="28" t="n">
        <v>102</v>
      </c>
      <c r="C123" s="28" t="n">
        <v>17</v>
      </c>
      <c r="D123" s="29">
        <f>H122</f>
        <v/>
      </c>
      <c r="E123" s="30">
        <f>MIN('Дашборд и Сводка'!$C$9, ROUNDUP(D123/'Дашборд и Сводка'!$C$6, 0)*0.01)</f>
        <v/>
      </c>
      <c r="F123" s="45">
        <f>'Дашборд и Сводка'!$C$7</f>
        <v/>
      </c>
      <c r="G123" s="29">
        <f>E123*F123*'Дашборд и Сводка'!$C$8</f>
        <v/>
      </c>
      <c r="H123" s="29">
        <f>D123+G123</f>
        <v/>
      </c>
    </row>
    <row r="124" ht="20" customHeight="1">
      <c r="A124" s="33" t="inlineStr">
        <is>
          <t>Май</t>
        </is>
      </c>
      <c r="B124" s="33" t="n">
        <v>103</v>
      </c>
      <c r="C124" s="33" t="n">
        <v>18</v>
      </c>
      <c r="D124" s="34">
        <f>H123</f>
        <v/>
      </c>
      <c r="E124" s="35">
        <f>MIN('Дашборд и Сводка'!$C$9, ROUNDUP(D124/'Дашборд и Сводка'!$C$6, 0)*0.01)</f>
        <v/>
      </c>
      <c r="F124" s="46">
        <f>'Дашборд и Сводка'!$C$7</f>
        <v/>
      </c>
      <c r="G124" s="34">
        <f>E124*F124*'Дашборд и Сводка'!$C$8</f>
        <v/>
      </c>
      <c r="H124" s="34">
        <f>D124+G124</f>
        <v/>
      </c>
    </row>
    <row r="125" ht="20" customHeight="1">
      <c r="A125" s="28" t="inlineStr">
        <is>
          <t>Май</t>
        </is>
      </c>
      <c r="B125" s="28" t="n">
        <v>104</v>
      </c>
      <c r="C125" s="28" t="n">
        <v>19</v>
      </c>
      <c r="D125" s="29">
        <f>H124</f>
        <v/>
      </c>
      <c r="E125" s="30">
        <f>MIN('Дашборд и Сводка'!$C$9, ROUNDUP(D125/'Дашборд и Сводка'!$C$6, 0)*0.01)</f>
        <v/>
      </c>
      <c r="F125" s="45">
        <f>'Дашборд и Сводка'!$C$7</f>
        <v/>
      </c>
      <c r="G125" s="29">
        <f>E125*F125*'Дашборд и Сводка'!$C$8</f>
        <v/>
      </c>
      <c r="H125" s="29">
        <f>D125+G125</f>
        <v/>
      </c>
    </row>
    <row r="126" ht="20" customHeight="1">
      <c r="A126" s="33" t="inlineStr">
        <is>
          <t>Май</t>
        </is>
      </c>
      <c r="B126" s="33" t="n">
        <v>105</v>
      </c>
      <c r="C126" s="33" t="n">
        <v>20</v>
      </c>
      <c r="D126" s="34">
        <f>H125</f>
        <v/>
      </c>
      <c r="E126" s="35">
        <f>MIN('Дашборд и Сводка'!$C$9, ROUNDUP(D126/'Дашборд и Сводка'!$C$6, 0)*0.01)</f>
        <v/>
      </c>
      <c r="F126" s="46">
        <f>'Дашборд и Сводка'!$C$7</f>
        <v/>
      </c>
      <c r="G126" s="34">
        <f>E126*F126*'Дашборд и Сводка'!$C$8</f>
        <v/>
      </c>
      <c r="H126" s="34">
        <f>D126+G126</f>
        <v/>
      </c>
    </row>
    <row r="127" ht="20" customHeight="1">
      <c r="A127" s="28" t="inlineStr">
        <is>
          <t>Май</t>
        </is>
      </c>
      <c r="B127" s="28" t="n">
        <v>106</v>
      </c>
      <c r="C127" s="28" t="n">
        <v>21</v>
      </c>
      <c r="D127" s="29">
        <f>H126</f>
        <v/>
      </c>
      <c r="E127" s="30">
        <f>MIN('Дашборд и Сводка'!$C$9, ROUNDUP(D127/'Дашборд и Сводка'!$C$6, 0)*0.01)</f>
        <v/>
      </c>
      <c r="F127" s="45">
        <f>'Дашборд и Сводка'!$C$7</f>
        <v/>
      </c>
      <c r="G127" s="29">
        <f>E127*F127*'Дашборд и Сводка'!$C$8</f>
        <v/>
      </c>
      <c r="H127" s="29">
        <f>D127+G127</f>
        <v/>
      </c>
    </row>
    <row r="128" ht="20" customHeight="1">
      <c r="A128" s="33" t="inlineStr">
        <is>
          <t>Май</t>
        </is>
      </c>
      <c r="B128" s="33" t="n">
        <v>107</v>
      </c>
      <c r="C128" s="33" t="n">
        <v>22</v>
      </c>
      <c r="D128" s="34">
        <f>H127</f>
        <v/>
      </c>
      <c r="E128" s="35">
        <f>MIN('Дашборд и Сводка'!$C$9, ROUNDUP(D128/'Дашборд и Сводка'!$C$6, 0)*0.01)</f>
        <v/>
      </c>
      <c r="F128" s="46">
        <f>'Дашборд и Сводка'!$C$7</f>
        <v/>
      </c>
      <c r="G128" s="34">
        <f>E128*F128*'Дашборд и Сводка'!$C$8</f>
        <v/>
      </c>
      <c r="H128" s="34">
        <f>D128+G128</f>
        <v/>
      </c>
    </row>
    <row r="129" ht="24" customHeight="1">
      <c r="A129" s="47" t="inlineStr">
        <is>
          <t>ИТОГО ЗА МАЙ:</t>
        </is>
      </c>
      <c r="B129" s="48" t="n"/>
      <c r="C129" s="48" t="n"/>
      <c r="D129" s="49">
        <f>D107</f>
        <v/>
      </c>
      <c r="E129" s="50">
        <f>MAX(E107:E128)</f>
        <v/>
      </c>
      <c r="F129" s="51">
        <f>'Дашборд и Сводка'!$C$7</f>
        <v/>
      </c>
      <c r="G129" s="52">
        <f>SUM(G107:G128)</f>
        <v/>
      </c>
      <c r="H129" s="53">
        <f>H128</f>
        <v/>
      </c>
    </row>
    <row r="131" ht="26" customHeight="1">
      <c r="A131" s="43" t="inlineStr">
        <is>
          <t>МЕСЯЦ 6: ИЮНЬ (21 торговых дней)</t>
        </is>
      </c>
    </row>
    <row r="132" ht="24" customHeight="1">
      <c r="A132" s="44" t="inlineStr">
        <is>
          <t>Месяц</t>
        </is>
      </c>
      <c r="B132" s="44" t="inlineStr">
        <is>
          <t>День года</t>
        </is>
      </c>
      <c r="C132" s="44" t="inlineStr">
        <is>
          <t>День месяца</t>
        </is>
      </c>
      <c r="D132" s="44" t="inlineStr">
        <is>
          <t>Начальный депозит ($)</t>
        </is>
      </c>
      <c r="E132" s="44" t="inlineStr">
        <is>
          <t>Размер лота</t>
        </is>
      </c>
      <c r="F132" s="44" t="inlineStr">
        <is>
          <t>Цель (пунктов)</t>
        </is>
      </c>
      <c r="G132" s="44" t="inlineStr">
        <is>
          <t>Прибыль за день ($)</t>
        </is>
      </c>
      <c r="H132" s="44" t="inlineStr">
        <is>
          <t>Итоговый баланс ($)</t>
        </is>
      </c>
    </row>
    <row r="133" ht="20" customHeight="1">
      <c r="A133" s="28" t="inlineStr">
        <is>
          <t>Июнь</t>
        </is>
      </c>
      <c r="B133" s="28" t="n">
        <v>108</v>
      </c>
      <c r="C133" s="28" t="n">
        <v>1</v>
      </c>
      <c r="D133" s="29">
        <f>H128</f>
        <v/>
      </c>
      <c r="E133" s="30">
        <f>MIN('Дашборд и Сводка'!$C$9, ROUNDUP(D133/'Дашборд и Сводка'!$C$6, 0)*0.01)</f>
        <v/>
      </c>
      <c r="F133" s="45">
        <f>'Дашборд и Сводка'!$C$7</f>
        <v/>
      </c>
      <c r="G133" s="29">
        <f>E133*F133*'Дашборд и Сводка'!$C$8</f>
        <v/>
      </c>
      <c r="H133" s="29">
        <f>D133+G133</f>
        <v/>
      </c>
    </row>
    <row r="134" ht="20" customHeight="1">
      <c r="A134" s="33" t="inlineStr">
        <is>
          <t>Июнь</t>
        </is>
      </c>
      <c r="B134" s="33" t="n">
        <v>109</v>
      </c>
      <c r="C134" s="33" t="n">
        <v>2</v>
      </c>
      <c r="D134" s="34">
        <f>H133</f>
        <v/>
      </c>
      <c r="E134" s="35">
        <f>MIN('Дашборд и Сводка'!$C$9, ROUNDUP(D134/'Дашборд и Сводка'!$C$6, 0)*0.01)</f>
        <v/>
      </c>
      <c r="F134" s="46">
        <f>'Дашборд и Сводка'!$C$7</f>
        <v/>
      </c>
      <c r="G134" s="34">
        <f>E134*F134*'Дашборд и Сводка'!$C$8</f>
        <v/>
      </c>
      <c r="H134" s="34">
        <f>D134+G134</f>
        <v/>
      </c>
    </row>
    <row r="135" ht="20" customHeight="1">
      <c r="A135" s="28" t="inlineStr">
        <is>
          <t>Июнь</t>
        </is>
      </c>
      <c r="B135" s="28" t="n">
        <v>110</v>
      </c>
      <c r="C135" s="28" t="n">
        <v>3</v>
      </c>
      <c r="D135" s="29">
        <f>H134</f>
        <v/>
      </c>
      <c r="E135" s="30">
        <f>MIN('Дашборд и Сводка'!$C$9, ROUNDUP(D135/'Дашборд и Сводка'!$C$6, 0)*0.01)</f>
        <v/>
      </c>
      <c r="F135" s="45">
        <f>'Дашборд и Сводка'!$C$7</f>
        <v/>
      </c>
      <c r="G135" s="29">
        <f>E135*F135*'Дашборд и Сводка'!$C$8</f>
        <v/>
      </c>
      <c r="H135" s="29">
        <f>D135+G135</f>
        <v/>
      </c>
    </row>
    <row r="136" ht="20" customHeight="1">
      <c r="A136" s="33" t="inlineStr">
        <is>
          <t>Июнь</t>
        </is>
      </c>
      <c r="B136" s="33" t="n">
        <v>111</v>
      </c>
      <c r="C136" s="33" t="n">
        <v>4</v>
      </c>
      <c r="D136" s="34">
        <f>H135</f>
        <v/>
      </c>
      <c r="E136" s="35">
        <f>MIN('Дашборд и Сводка'!$C$9, ROUNDUP(D136/'Дашборд и Сводка'!$C$6, 0)*0.01)</f>
        <v/>
      </c>
      <c r="F136" s="46">
        <f>'Дашборд и Сводка'!$C$7</f>
        <v/>
      </c>
      <c r="G136" s="34">
        <f>E136*F136*'Дашборд и Сводка'!$C$8</f>
        <v/>
      </c>
      <c r="H136" s="34">
        <f>D136+G136</f>
        <v/>
      </c>
    </row>
    <row r="137" ht="20" customHeight="1">
      <c r="A137" s="28" t="inlineStr">
        <is>
          <t>Июнь</t>
        </is>
      </c>
      <c r="B137" s="28" t="n">
        <v>112</v>
      </c>
      <c r="C137" s="28" t="n">
        <v>5</v>
      </c>
      <c r="D137" s="29">
        <f>H136</f>
        <v/>
      </c>
      <c r="E137" s="30">
        <f>MIN('Дашборд и Сводка'!$C$9, ROUNDUP(D137/'Дашборд и Сводка'!$C$6, 0)*0.01)</f>
        <v/>
      </c>
      <c r="F137" s="45">
        <f>'Дашборд и Сводка'!$C$7</f>
        <v/>
      </c>
      <c r="G137" s="29">
        <f>E137*F137*'Дашборд и Сводка'!$C$8</f>
        <v/>
      </c>
      <c r="H137" s="29">
        <f>D137+G137</f>
        <v/>
      </c>
    </row>
    <row r="138" ht="20" customHeight="1">
      <c r="A138" s="33" t="inlineStr">
        <is>
          <t>Июнь</t>
        </is>
      </c>
      <c r="B138" s="33" t="n">
        <v>113</v>
      </c>
      <c r="C138" s="33" t="n">
        <v>6</v>
      </c>
      <c r="D138" s="34">
        <f>H137</f>
        <v/>
      </c>
      <c r="E138" s="35">
        <f>MIN('Дашборд и Сводка'!$C$9, ROUNDUP(D138/'Дашборд и Сводка'!$C$6, 0)*0.01)</f>
        <v/>
      </c>
      <c r="F138" s="46">
        <f>'Дашборд и Сводка'!$C$7</f>
        <v/>
      </c>
      <c r="G138" s="34">
        <f>E138*F138*'Дашборд и Сводка'!$C$8</f>
        <v/>
      </c>
      <c r="H138" s="34">
        <f>D138+G138</f>
        <v/>
      </c>
    </row>
    <row r="139" ht="20" customHeight="1">
      <c r="A139" s="28" t="inlineStr">
        <is>
          <t>Июнь</t>
        </is>
      </c>
      <c r="B139" s="28" t="n">
        <v>114</v>
      </c>
      <c r="C139" s="28" t="n">
        <v>7</v>
      </c>
      <c r="D139" s="29">
        <f>H138</f>
        <v/>
      </c>
      <c r="E139" s="30">
        <f>MIN('Дашборд и Сводка'!$C$9, ROUNDUP(D139/'Дашборд и Сводка'!$C$6, 0)*0.01)</f>
        <v/>
      </c>
      <c r="F139" s="45">
        <f>'Дашборд и Сводка'!$C$7</f>
        <v/>
      </c>
      <c r="G139" s="29">
        <f>E139*F139*'Дашборд и Сводка'!$C$8</f>
        <v/>
      </c>
      <c r="H139" s="29">
        <f>D139+G139</f>
        <v/>
      </c>
    </row>
    <row r="140" ht="20" customHeight="1">
      <c r="A140" s="33" t="inlineStr">
        <is>
          <t>Июнь</t>
        </is>
      </c>
      <c r="B140" s="33" t="n">
        <v>115</v>
      </c>
      <c r="C140" s="33" t="n">
        <v>8</v>
      </c>
      <c r="D140" s="34">
        <f>H139</f>
        <v/>
      </c>
      <c r="E140" s="35">
        <f>MIN('Дашборд и Сводка'!$C$9, ROUNDUP(D140/'Дашборд и Сводка'!$C$6, 0)*0.01)</f>
        <v/>
      </c>
      <c r="F140" s="46">
        <f>'Дашборд и Сводка'!$C$7</f>
        <v/>
      </c>
      <c r="G140" s="34">
        <f>E140*F140*'Дашборд и Сводка'!$C$8</f>
        <v/>
      </c>
      <c r="H140" s="34">
        <f>D140+G140</f>
        <v/>
      </c>
    </row>
    <row r="141" ht="20" customHeight="1">
      <c r="A141" s="28" t="inlineStr">
        <is>
          <t>Июнь</t>
        </is>
      </c>
      <c r="B141" s="28" t="n">
        <v>116</v>
      </c>
      <c r="C141" s="28" t="n">
        <v>9</v>
      </c>
      <c r="D141" s="29">
        <f>H140</f>
        <v/>
      </c>
      <c r="E141" s="30">
        <f>MIN('Дашборд и Сводка'!$C$9, ROUNDUP(D141/'Дашборд и Сводка'!$C$6, 0)*0.01)</f>
        <v/>
      </c>
      <c r="F141" s="45">
        <f>'Дашборд и Сводка'!$C$7</f>
        <v/>
      </c>
      <c r="G141" s="29">
        <f>E141*F141*'Дашборд и Сводка'!$C$8</f>
        <v/>
      </c>
      <c r="H141" s="29">
        <f>D141+G141</f>
        <v/>
      </c>
    </row>
    <row r="142" ht="20" customHeight="1">
      <c r="A142" s="33" t="inlineStr">
        <is>
          <t>Июнь</t>
        </is>
      </c>
      <c r="B142" s="33" t="n">
        <v>117</v>
      </c>
      <c r="C142" s="33" t="n">
        <v>10</v>
      </c>
      <c r="D142" s="34">
        <f>H141</f>
        <v/>
      </c>
      <c r="E142" s="35">
        <f>MIN('Дашборд и Сводка'!$C$9, ROUNDUP(D142/'Дашборд и Сводка'!$C$6, 0)*0.01)</f>
        <v/>
      </c>
      <c r="F142" s="46">
        <f>'Дашборд и Сводка'!$C$7</f>
        <v/>
      </c>
      <c r="G142" s="34">
        <f>E142*F142*'Дашборд и Сводка'!$C$8</f>
        <v/>
      </c>
      <c r="H142" s="34">
        <f>D142+G142</f>
        <v/>
      </c>
    </row>
    <row r="143" ht="20" customHeight="1">
      <c r="A143" s="28" t="inlineStr">
        <is>
          <t>Июнь</t>
        </is>
      </c>
      <c r="B143" s="28" t="n">
        <v>118</v>
      </c>
      <c r="C143" s="28" t="n">
        <v>11</v>
      </c>
      <c r="D143" s="29">
        <f>H142</f>
        <v/>
      </c>
      <c r="E143" s="30">
        <f>MIN('Дашборд и Сводка'!$C$9, ROUNDUP(D143/'Дашборд и Сводка'!$C$6, 0)*0.01)</f>
        <v/>
      </c>
      <c r="F143" s="45">
        <f>'Дашборд и Сводка'!$C$7</f>
        <v/>
      </c>
      <c r="G143" s="29">
        <f>E143*F143*'Дашборд и Сводка'!$C$8</f>
        <v/>
      </c>
      <c r="H143" s="29">
        <f>D143+G143</f>
        <v/>
      </c>
    </row>
    <row r="144" ht="20" customHeight="1">
      <c r="A144" s="33" t="inlineStr">
        <is>
          <t>Июнь</t>
        </is>
      </c>
      <c r="B144" s="33" t="n">
        <v>119</v>
      </c>
      <c r="C144" s="33" t="n">
        <v>12</v>
      </c>
      <c r="D144" s="34">
        <f>H143</f>
        <v/>
      </c>
      <c r="E144" s="35">
        <f>MIN('Дашборд и Сводка'!$C$9, ROUNDUP(D144/'Дашборд и Сводка'!$C$6, 0)*0.01)</f>
        <v/>
      </c>
      <c r="F144" s="46">
        <f>'Дашборд и Сводка'!$C$7</f>
        <v/>
      </c>
      <c r="G144" s="34">
        <f>E144*F144*'Дашборд и Сводка'!$C$8</f>
        <v/>
      </c>
      <c r="H144" s="34">
        <f>D144+G144</f>
        <v/>
      </c>
    </row>
    <row r="145" ht="20" customHeight="1">
      <c r="A145" s="28" t="inlineStr">
        <is>
          <t>Июнь</t>
        </is>
      </c>
      <c r="B145" s="28" t="n">
        <v>120</v>
      </c>
      <c r="C145" s="28" t="n">
        <v>13</v>
      </c>
      <c r="D145" s="29">
        <f>H144</f>
        <v/>
      </c>
      <c r="E145" s="30">
        <f>MIN('Дашборд и Сводка'!$C$9, ROUNDUP(D145/'Дашборд и Сводка'!$C$6, 0)*0.01)</f>
        <v/>
      </c>
      <c r="F145" s="45">
        <f>'Дашборд и Сводка'!$C$7</f>
        <v/>
      </c>
      <c r="G145" s="29">
        <f>E145*F145*'Дашборд и Сводка'!$C$8</f>
        <v/>
      </c>
      <c r="H145" s="29">
        <f>D145+G145</f>
        <v/>
      </c>
    </row>
    <row r="146" ht="20" customHeight="1">
      <c r="A146" s="33" t="inlineStr">
        <is>
          <t>Июнь</t>
        </is>
      </c>
      <c r="B146" s="33" t="n">
        <v>121</v>
      </c>
      <c r="C146" s="33" t="n">
        <v>14</v>
      </c>
      <c r="D146" s="34">
        <f>H145</f>
        <v/>
      </c>
      <c r="E146" s="35">
        <f>MIN('Дашборд и Сводка'!$C$9, ROUNDUP(D146/'Дашборд и Сводка'!$C$6, 0)*0.01)</f>
        <v/>
      </c>
      <c r="F146" s="46">
        <f>'Дашборд и Сводка'!$C$7</f>
        <v/>
      </c>
      <c r="G146" s="34">
        <f>E146*F146*'Дашборд и Сводка'!$C$8</f>
        <v/>
      </c>
      <c r="H146" s="34">
        <f>D146+G146</f>
        <v/>
      </c>
    </row>
    <row r="147" ht="20" customHeight="1">
      <c r="A147" s="28" t="inlineStr">
        <is>
          <t>Июнь</t>
        </is>
      </c>
      <c r="B147" s="28" t="n">
        <v>122</v>
      </c>
      <c r="C147" s="28" t="n">
        <v>15</v>
      </c>
      <c r="D147" s="29">
        <f>H146</f>
        <v/>
      </c>
      <c r="E147" s="30">
        <f>MIN('Дашборд и Сводка'!$C$9, ROUNDUP(D147/'Дашборд и Сводка'!$C$6, 0)*0.01)</f>
        <v/>
      </c>
      <c r="F147" s="45">
        <f>'Дашборд и Сводка'!$C$7</f>
        <v/>
      </c>
      <c r="G147" s="29">
        <f>E147*F147*'Дашборд и Сводка'!$C$8</f>
        <v/>
      </c>
      <c r="H147" s="29">
        <f>D147+G147</f>
        <v/>
      </c>
    </row>
    <row r="148" ht="20" customHeight="1">
      <c r="A148" s="33" t="inlineStr">
        <is>
          <t>Июнь</t>
        </is>
      </c>
      <c r="B148" s="33" t="n">
        <v>123</v>
      </c>
      <c r="C148" s="33" t="n">
        <v>16</v>
      </c>
      <c r="D148" s="34">
        <f>H147</f>
        <v/>
      </c>
      <c r="E148" s="35">
        <f>MIN('Дашборд и Сводка'!$C$9, ROUNDUP(D148/'Дашборд и Сводка'!$C$6, 0)*0.01)</f>
        <v/>
      </c>
      <c r="F148" s="46">
        <f>'Дашборд и Сводка'!$C$7</f>
        <v/>
      </c>
      <c r="G148" s="34">
        <f>E148*F148*'Дашборд и Сводка'!$C$8</f>
        <v/>
      </c>
      <c r="H148" s="34">
        <f>D148+G148</f>
        <v/>
      </c>
    </row>
    <row r="149" ht="20" customHeight="1">
      <c r="A149" s="28" t="inlineStr">
        <is>
          <t>Июнь</t>
        </is>
      </c>
      <c r="B149" s="28" t="n">
        <v>124</v>
      </c>
      <c r="C149" s="28" t="n">
        <v>17</v>
      </c>
      <c r="D149" s="29">
        <f>H148</f>
        <v/>
      </c>
      <c r="E149" s="30">
        <f>MIN('Дашборд и Сводка'!$C$9, ROUNDUP(D149/'Дашборд и Сводка'!$C$6, 0)*0.01)</f>
        <v/>
      </c>
      <c r="F149" s="45">
        <f>'Дашборд и Сводка'!$C$7</f>
        <v/>
      </c>
      <c r="G149" s="29">
        <f>E149*F149*'Дашборд и Сводка'!$C$8</f>
        <v/>
      </c>
      <c r="H149" s="29">
        <f>D149+G149</f>
        <v/>
      </c>
    </row>
    <row r="150" ht="20" customHeight="1">
      <c r="A150" s="33" t="inlineStr">
        <is>
          <t>Июнь</t>
        </is>
      </c>
      <c r="B150" s="33" t="n">
        <v>125</v>
      </c>
      <c r="C150" s="33" t="n">
        <v>18</v>
      </c>
      <c r="D150" s="34">
        <f>H149</f>
        <v/>
      </c>
      <c r="E150" s="35">
        <f>MIN('Дашборд и Сводка'!$C$9, ROUNDUP(D150/'Дашборд и Сводка'!$C$6, 0)*0.01)</f>
        <v/>
      </c>
      <c r="F150" s="46">
        <f>'Дашборд и Сводка'!$C$7</f>
        <v/>
      </c>
      <c r="G150" s="34">
        <f>E150*F150*'Дашборд и Сводка'!$C$8</f>
        <v/>
      </c>
      <c r="H150" s="34">
        <f>D150+G150</f>
        <v/>
      </c>
    </row>
    <row r="151" ht="20" customHeight="1">
      <c r="A151" s="28" t="inlineStr">
        <is>
          <t>Июнь</t>
        </is>
      </c>
      <c r="B151" s="28" t="n">
        <v>126</v>
      </c>
      <c r="C151" s="28" t="n">
        <v>19</v>
      </c>
      <c r="D151" s="29">
        <f>H150</f>
        <v/>
      </c>
      <c r="E151" s="30">
        <f>MIN('Дашборд и Сводка'!$C$9, ROUNDUP(D151/'Дашборд и Сводка'!$C$6, 0)*0.01)</f>
        <v/>
      </c>
      <c r="F151" s="45">
        <f>'Дашборд и Сводка'!$C$7</f>
        <v/>
      </c>
      <c r="G151" s="29">
        <f>E151*F151*'Дашборд и Сводка'!$C$8</f>
        <v/>
      </c>
      <c r="H151" s="29">
        <f>D151+G151</f>
        <v/>
      </c>
    </row>
    <row r="152" ht="20" customHeight="1">
      <c r="A152" s="33" t="inlineStr">
        <is>
          <t>Июнь</t>
        </is>
      </c>
      <c r="B152" s="33" t="n">
        <v>127</v>
      </c>
      <c r="C152" s="33" t="n">
        <v>20</v>
      </c>
      <c r="D152" s="34">
        <f>H151</f>
        <v/>
      </c>
      <c r="E152" s="35">
        <f>MIN('Дашборд и Сводка'!$C$9, ROUNDUP(D152/'Дашборд и Сводка'!$C$6, 0)*0.01)</f>
        <v/>
      </c>
      <c r="F152" s="46">
        <f>'Дашборд и Сводка'!$C$7</f>
        <v/>
      </c>
      <c r="G152" s="34">
        <f>E152*F152*'Дашборд и Сводка'!$C$8</f>
        <v/>
      </c>
      <c r="H152" s="34">
        <f>D152+G152</f>
        <v/>
      </c>
    </row>
    <row r="153" ht="20" customHeight="1">
      <c r="A153" s="28" t="inlineStr">
        <is>
          <t>Июнь</t>
        </is>
      </c>
      <c r="B153" s="28" t="n">
        <v>128</v>
      </c>
      <c r="C153" s="28" t="n">
        <v>21</v>
      </c>
      <c r="D153" s="29">
        <f>H152</f>
        <v/>
      </c>
      <c r="E153" s="30">
        <f>MIN('Дашборд и Сводка'!$C$9, ROUNDUP(D153/'Дашборд и Сводка'!$C$6, 0)*0.01)</f>
        <v/>
      </c>
      <c r="F153" s="45">
        <f>'Дашборд и Сводка'!$C$7</f>
        <v/>
      </c>
      <c r="G153" s="29">
        <f>E153*F153*'Дашборд и Сводка'!$C$8</f>
        <v/>
      </c>
      <c r="H153" s="29">
        <f>D153+G153</f>
        <v/>
      </c>
    </row>
    <row r="154" ht="24" customHeight="1">
      <c r="A154" s="47" t="inlineStr">
        <is>
          <t>ИТОГО ЗА ИЮНЬ:</t>
        </is>
      </c>
      <c r="B154" s="48" t="n"/>
      <c r="C154" s="48" t="n"/>
      <c r="D154" s="49">
        <f>D133</f>
        <v/>
      </c>
      <c r="E154" s="50">
        <f>MAX(E133:E153)</f>
        <v/>
      </c>
      <c r="F154" s="51">
        <f>'Дашборд и Сводка'!$C$7</f>
        <v/>
      </c>
      <c r="G154" s="52">
        <f>SUM(G133:G153)</f>
        <v/>
      </c>
      <c r="H154" s="53">
        <f>H153</f>
        <v/>
      </c>
    </row>
    <row r="156" ht="26" customHeight="1">
      <c r="A156" s="43" t="inlineStr">
        <is>
          <t>МЕСЯЦ 7: ИЮЛЬ (22 торговых дней)</t>
        </is>
      </c>
    </row>
    <row r="157" ht="24" customHeight="1">
      <c r="A157" s="44" t="inlineStr">
        <is>
          <t>Месяц</t>
        </is>
      </c>
      <c r="B157" s="44" t="inlineStr">
        <is>
          <t>День года</t>
        </is>
      </c>
      <c r="C157" s="44" t="inlineStr">
        <is>
          <t>День месяца</t>
        </is>
      </c>
      <c r="D157" s="44" t="inlineStr">
        <is>
          <t>Начальный депозит ($)</t>
        </is>
      </c>
      <c r="E157" s="44" t="inlineStr">
        <is>
          <t>Размер лота</t>
        </is>
      </c>
      <c r="F157" s="44" t="inlineStr">
        <is>
          <t>Цель (пунктов)</t>
        </is>
      </c>
      <c r="G157" s="44" t="inlineStr">
        <is>
          <t>Прибыль за день ($)</t>
        </is>
      </c>
      <c r="H157" s="44" t="inlineStr">
        <is>
          <t>Итоговый баланс ($)</t>
        </is>
      </c>
    </row>
    <row r="158" ht="20" customHeight="1">
      <c r="A158" s="28" t="inlineStr">
        <is>
          <t>Июль</t>
        </is>
      </c>
      <c r="B158" s="28" t="n">
        <v>129</v>
      </c>
      <c r="C158" s="28" t="n">
        <v>1</v>
      </c>
      <c r="D158" s="29">
        <f>H153</f>
        <v/>
      </c>
      <c r="E158" s="30">
        <f>MIN('Дашборд и Сводка'!$C$9, ROUNDUP(D158/'Дашборд и Сводка'!$C$6, 0)*0.01)</f>
        <v/>
      </c>
      <c r="F158" s="45">
        <f>'Дашборд и Сводка'!$C$7</f>
        <v/>
      </c>
      <c r="G158" s="29">
        <f>E158*F158*'Дашборд и Сводка'!$C$8</f>
        <v/>
      </c>
      <c r="H158" s="29">
        <f>D158+G158</f>
        <v/>
      </c>
    </row>
    <row r="159" ht="20" customHeight="1">
      <c r="A159" s="33" t="inlineStr">
        <is>
          <t>Июль</t>
        </is>
      </c>
      <c r="B159" s="33" t="n">
        <v>130</v>
      </c>
      <c r="C159" s="33" t="n">
        <v>2</v>
      </c>
      <c r="D159" s="34">
        <f>H158</f>
        <v/>
      </c>
      <c r="E159" s="35">
        <f>MIN('Дашборд и Сводка'!$C$9, ROUNDUP(D159/'Дашборд и Сводка'!$C$6, 0)*0.01)</f>
        <v/>
      </c>
      <c r="F159" s="46">
        <f>'Дашборд и Сводка'!$C$7</f>
        <v/>
      </c>
      <c r="G159" s="34">
        <f>E159*F159*'Дашборд и Сводка'!$C$8</f>
        <v/>
      </c>
      <c r="H159" s="34">
        <f>D159+G159</f>
        <v/>
      </c>
    </row>
    <row r="160" ht="20" customHeight="1">
      <c r="A160" s="28" t="inlineStr">
        <is>
          <t>Июль</t>
        </is>
      </c>
      <c r="B160" s="28" t="n">
        <v>131</v>
      </c>
      <c r="C160" s="28" t="n">
        <v>3</v>
      </c>
      <c r="D160" s="29">
        <f>H159</f>
        <v/>
      </c>
      <c r="E160" s="30">
        <f>MIN('Дашборд и Сводка'!$C$9, ROUNDUP(D160/'Дашборд и Сводка'!$C$6, 0)*0.01)</f>
        <v/>
      </c>
      <c r="F160" s="45">
        <f>'Дашборд и Сводка'!$C$7</f>
        <v/>
      </c>
      <c r="G160" s="29">
        <f>E160*F160*'Дашборд и Сводка'!$C$8</f>
        <v/>
      </c>
      <c r="H160" s="29">
        <f>D160+G160</f>
        <v/>
      </c>
    </row>
    <row r="161" ht="20" customHeight="1">
      <c r="A161" s="33" t="inlineStr">
        <is>
          <t>Июль</t>
        </is>
      </c>
      <c r="B161" s="33" t="n">
        <v>132</v>
      </c>
      <c r="C161" s="33" t="n">
        <v>4</v>
      </c>
      <c r="D161" s="34">
        <f>H160</f>
        <v/>
      </c>
      <c r="E161" s="35">
        <f>MIN('Дашборд и Сводка'!$C$9, ROUNDUP(D161/'Дашборд и Сводка'!$C$6, 0)*0.01)</f>
        <v/>
      </c>
      <c r="F161" s="46">
        <f>'Дашборд и Сводка'!$C$7</f>
        <v/>
      </c>
      <c r="G161" s="34">
        <f>E161*F161*'Дашборд и Сводка'!$C$8</f>
        <v/>
      </c>
      <c r="H161" s="34">
        <f>D161+G161</f>
        <v/>
      </c>
    </row>
    <row r="162" ht="20" customHeight="1">
      <c r="A162" s="28" t="inlineStr">
        <is>
          <t>Июль</t>
        </is>
      </c>
      <c r="B162" s="28" t="n">
        <v>133</v>
      </c>
      <c r="C162" s="28" t="n">
        <v>5</v>
      </c>
      <c r="D162" s="29">
        <f>H161</f>
        <v/>
      </c>
      <c r="E162" s="30">
        <f>MIN('Дашборд и Сводка'!$C$9, ROUNDUP(D162/'Дашборд и Сводка'!$C$6, 0)*0.01)</f>
        <v/>
      </c>
      <c r="F162" s="45">
        <f>'Дашборд и Сводка'!$C$7</f>
        <v/>
      </c>
      <c r="G162" s="29">
        <f>E162*F162*'Дашборд и Сводка'!$C$8</f>
        <v/>
      </c>
      <c r="H162" s="29">
        <f>D162+G162</f>
        <v/>
      </c>
    </row>
    <row r="163" ht="20" customHeight="1">
      <c r="A163" s="33" t="inlineStr">
        <is>
          <t>Июль</t>
        </is>
      </c>
      <c r="B163" s="33" t="n">
        <v>134</v>
      </c>
      <c r="C163" s="33" t="n">
        <v>6</v>
      </c>
      <c r="D163" s="34">
        <f>H162</f>
        <v/>
      </c>
      <c r="E163" s="35">
        <f>MIN('Дашборд и Сводка'!$C$9, ROUNDUP(D163/'Дашборд и Сводка'!$C$6, 0)*0.01)</f>
        <v/>
      </c>
      <c r="F163" s="46">
        <f>'Дашборд и Сводка'!$C$7</f>
        <v/>
      </c>
      <c r="G163" s="34">
        <f>E163*F163*'Дашборд и Сводка'!$C$8</f>
        <v/>
      </c>
      <c r="H163" s="34">
        <f>D163+G163</f>
        <v/>
      </c>
    </row>
    <row r="164" ht="20" customHeight="1">
      <c r="A164" s="28" t="inlineStr">
        <is>
          <t>Июль</t>
        </is>
      </c>
      <c r="B164" s="28" t="n">
        <v>135</v>
      </c>
      <c r="C164" s="28" t="n">
        <v>7</v>
      </c>
      <c r="D164" s="29">
        <f>H163</f>
        <v/>
      </c>
      <c r="E164" s="30">
        <f>MIN('Дашборд и Сводка'!$C$9, ROUNDUP(D164/'Дашборд и Сводка'!$C$6, 0)*0.01)</f>
        <v/>
      </c>
      <c r="F164" s="45">
        <f>'Дашборд и Сводка'!$C$7</f>
        <v/>
      </c>
      <c r="G164" s="29">
        <f>E164*F164*'Дашборд и Сводка'!$C$8</f>
        <v/>
      </c>
      <c r="H164" s="29">
        <f>D164+G164</f>
        <v/>
      </c>
    </row>
    <row r="165" ht="20" customHeight="1">
      <c r="A165" s="33" t="inlineStr">
        <is>
          <t>Июль</t>
        </is>
      </c>
      <c r="B165" s="33" t="n">
        <v>136</v>
      </c>
      <c r="C165" s="33" t="n">
        <v>8</v>
      </c>
      <c r="D165" s="34">
        <f>H164</f>
        <v/>
      </c>
      <c r="E165" s="35">
        <f>MIN('Дашборд и Сводка'!$C$9, ROUNDUP(D165/'Дашборд и Сводка'!$C$6, 0)*0.01)</f>
        <v/>
      </c>
      <c r="F165" s="46">
        <f>'Дашборд и Сводка'!$C$7</f>
        <v/>
      </c>
      <c r="G165" s="34">
        <f>E165*F165*'Дашборд и Сводка'!$C$8</f>
        <v/>
      </c>
      <c r="H165" s="34">
        <f>D165+G165</f>
        <v/>
      </c>
    </row>
    <row r="166" ht="20" customHeight="1">
      <c r="A166" s="28" t="inlineStr">
        <is>
          <t>Июль</t>
        </is>
      </c>
      <c r="B166" s="28" t="n">
        <v>137</v>
      </c>
      <c r="C166" s="28" t="n">
        <v>9</v>
      </c>
      <c r="D166" s="29">
        <f>H165</f>
        <v/>
      </c>
      <c r="E166" s="30">
        <f>MIN('Дашборд и Сводка'!$C$9, ROUNDUP(D166/'Дашборд и Сводка'!$C$6, 0)*0.01)</f>
        <v/>
      </c>
      <c r="F166" s="45">
        <f>'Дашборд и Сводка'!$C$7</f>
        <v/>
      </c>
      <c r="G166" s="29">
        <f>E166*F166*'Дашборд и Сводка'!$C$8</f>
        <v/>
      </c>
      <c r="H166" s="29">
        <f>D166+G166</f>
        <v/>
      </c>
    </row>
    <row r="167" ht="20" customHeight="1">
      <c r="A167" s="33" t="inlineStr">
        <is>
          <t>Июль</t>
        </is>
      </c>
      <c r="B167" s="33" t="n">
        <v>138</v>
      </c>
      <c r="C167" s="33" t="n">
        <v>10</v>
      </c>
      <c r="D167" s="34">
        <f>H166</f>
        <v/>
      </c>
      <c r="E167" s="35">
        <f>MIN('Дашборд и Сводка'!$C$9, ROUNDUP(D167/'Дашборд и Сводка'!$C$6, 0)*0.01)</f>
        <v/>
      </c>
      <c r="F167" s="46">
        <f>'Дашборд и Сводка'!$C$7</f>
        <v/>
      </c>
      <c r="G167" s="34">
        <f>E167*F167*'Дашборд и Сводка'!$C$8</f>
        <v/>
      </c>
      <c r="H167" s="34">
        <f>D167+G167</f>
        <v/>
      </c>
    </row>
    <row r="168" ht="20" customHeight="1">
      <c r="A168" s="28" t="inlineStr">
        <is>
          <t>Июль</t>
        </is>
      </c>
      <c r="B168" s="28" t="n">
        <v>139</v>
      </c>
      <c r="C168" s="28" t="n">
        <v>11</v>
      </c>
      <c r="D168" s="29">
        <f>H167</f>
        <v/>
      </c>
      <c r="E168" s="30">
        <f>MIN('Дашборд и Сводка'!$C$9, ROUNDUP(D168/'Дашборд и Сводка'!$C$6, 0)*0.01)</f>
        <v/>
      </c>
      <c r="F168" s="45">
        <f>'Дашборд и Сводка'!$C$7</f>
        <v/>
      </c>
      <c r="G168" s="29">
        <f>E168*F168*'Дашборд и Сводка'!$C$8</f>
        <v/>
      </c>
      <c r="H168" s="29">
        <f>D168+G168</f>
        <v/>
      </c>
    </row>
    <row r="169" ht="20" customHeight="1">
      <c r="A169" s="33" t="inlineStr">
        <is>
          <t>Июль</t>
        </is>
      </c>
      <c r="B169" s="33" t="n">
        <v>140</v>
      </c>
      <c r="C169" s="33" t="n">
        <v>12</v>
      </c>
      <c r="D169" s="34">
        <f>H168</f>
        <v/>
      </c>
      <c r="E169" s="35">
        <f>MIN('Дашборд и Сводка'!$C$9, ROUNDUP(D169/'Дашборд и Сводка'!$C$6, 0)*0.01)</f>
        <v/>
      </c>
      <c r="F169" s="46">
        <f>'Дашборд и Сводка'!$C$7</f>
        <v/>
      </c>
      <c r="G169" s="34">
        <f>E169*F169*'Дашборд и Сводка'!$C$8</f>
        <v/>
      </c>
      <c r="H169" s="34">
        <f>D169+G169</f>
        <v/>
      </c>
    </row>
    <row r="170" ht="20" customHeight="1">
      <c r="A170" s="28" t="inlineStr">
        <is>
          <t>Июль</t>
        </is>
      </c>
      <c r="B170" s="28" t="n">
        <v>141</v>
      </c>
      <c r="C170" s="28" t="n">
        <v>13</v>
      </c>
      <c r="D170" s="29">
        <f>H169</f>
        <v/>
      </c>
      <c r="E170" s="30">
        <f>MIN('Дашборд и Сводка'!$C$9, ROUNDUP(D170/'Дашборд и Сводка'!$C$6, 0)*0.01)</f>
        <v/>
      </c>
      <c r="F170" s="45">
        <f>'Дашборд и Сводка'!$C$7</f>
        <v/>
      </c>
      <c r="G170" s="29">
        <f>E170*F170*'Дашборд и Сводка'!$C$8</f>
        <v/>
      </c>
      <c r="H170" s="29">
        <f>D170+G170</f>
        <v/>
      </c>
    </row>
    <row r="171" ht="20" customHeight="1">
      <c r="A171" s="33" t="inlineStr">
        <is>
          <t>Июль</t>
        </is>
      </c>
      <c r="B171" s="33" t="n">
        <v>142</v>
      </c>
      <c r="C171" s="33" t="n">
        <v>14</v>
      </c>
      <c r="D171" s="34">
        <f>H170</f>
        <v/>
      </c>
      <c r="E171" s="35">
        <f>MIN('Дашборд и Сводка'!$C$9, ROUNDUP(D171/'Дашборд и Сводка'!$C$6, 0)*0.01)</f>
        <v/>
      </c>
      <c r="F171" s="46">
        <f>'Дашборд и Сводка'!$C$7</f>
        <v/>
      </c>
      <c r="G171" s="34">
        <f>E171*F171*'Дашборд и Сводка'!$C$8</f>
        <v/>
      </c>
      <c r="H171" s="34">
        <f>D171+G171</f>
        <v/>
      </c>
    </row>
    <row r="172" ht="20" customHeight="1">
      <c r="A172" s="28" t="inlineStr">
        <is>
          <t>Июль</t>
        </is>
      </c>
      <c r="B172" s="28" t="n">
        <v>143</v>
      </c>
      <c r="C172" s="28" t="n">
        <v>15</v>
      </c>
      <c r="D172" s="29">
        <f>H171</f>
        <v/>
      </c>
      <c r="E172" s="30">
        <f>MIN('Дашборд и Сводка'!$C$9, ROUNDUP(D172/'Дашборд и Сводка'!$C$6, 0)*0.01)</f>
        <v/>
      </c>
      <c r="F172" s="45">
        <f>'Дашборд и Сводка'!$C$7</f>
        <v/>
      </c>
      <c r="G172" s="29">
        <f>E172*F172*'Дашборд и Сводка'!$C$8</f>
        <v/>
      </c>
      <c r="H172" s="29">
        <f>D172+G172</f>
        <v/>
      </c>
    </row>
    <row r="173" ht="20" customHeight="1">
      <c r="A173" s="33" t="inlineStr">
        <is>
          <t>Июль</t>
        </is>
      </c>
      <c r="B173" s="33" t="n">
        <v>144</v>
      </c>
      <c r="C173" s="33" t="n">
        <v>16</v>
      </c>
      <c r="D173" s="34">
        <f>H172</f>
        <v/>
      </c>
      <c r="E173" s="35">
        <f>MIN('Дашборд и Сводка'!$C$9, ROUNDUP(D173/'Дашборд и Сводка'!$C$6, 0)*0.01)</f>
        <v/>
      </c>
      <c r="F173" s="46">
        <f>'Дашборд и Сводка'!$C$7</f>
        <v/>
      </c>
      <c r="G173" s="34">
        <f>E173*F173*'Дашборд и Сводка'!$C$8</f>
        <v/>
      </c>
      <c r="H173" s="34">
        <f>D173+G173</f>
        <v/>
      </c>
    </row>
    <row r="174" ht="20" customHeight="1">
      <c r="A174" s="28" t="inlineStr">
        <is>
          <t>Июль</t>
        </is>
      </c>
      <c r="B174" s="28" t="n">
        <v>145</v>
      </c>
      <c r="C174" s="28" t="n">
        <v>17</v>
      </c>
      <c r="D174" s="29">
        <f>H173</f>
        <v/>
      </c>
      <c r="E174" s="30">
        <f>MIN('Дашборд и Сводка'!$C$9, ROUNDUP(D174/'Дашборд и Сводка'!$C$6, 0)*0.01)</f>
        <v/>
      </c>
      <c r="F174" s="45">
        <f>'Дашборд и Сводка'!$C$7</f>
        <v/>
      </c>
      <c r="G174" s="29">
        <f>E174*F174*'Дашборд и Сводка'!$C$8</f>
        <v/>
      </c>
      <c r="H174" s="29">
        <f>D174+G174</f>
        <v/>
      </c>
    </row>
    <row r="175" ht="20" customHeight="1">
      <c r="A175" s="33" t="inlineStr">
        <is>
          <t>Июль</t>
        </is>
      </c>
      <c r="B175" s="33" t="n">
        <v>146</v>
      </c>
      <c r="C175" s="33" t="n">
        <v>18</v>
      </c>
      <c r="D175" s="34">
        <f>H174</f>
        <v/>
      </c>
      <c r="E175" s="35">
        <f>MIN('Дашборд и Сводка'!$C$9, ROUNDUP(D175/'Дашборд и Сводка'!$C$6, 0)*0.01)</f>
        <v/>
      </c>
      <c r="F175" s="46">
        <f>'Дашборд и Сводка'!$C$7</f>
        <v/>
      </c>
      <c r="G175" s="34">
        <f>E175*F175*'Дашборд и Сводка'!$C$8</f>
        <v/>
      </c>
      <c r="H175" s="34">
        <f>D175+G175</f>
        <v/>
      </c>
    </row>
    <row r="176" ht="20" customHeight="1">
      <c r="A176" s="28" t="inlineStr">
        <is>
          <t>Июль</t>
        </is>
      </c>
      <c r="B176" s="28" t="n">
        <v>147</v>
      </c>
      <c r="C176" s="28" t="n">
        <v>19</v>
      </c>
      <c r="D176" s="29">
        <f>H175</f>
        <v/>
      </c>
      <c r="E176" s="30">
        <f>MIN('Дашборд и Сводка'!$C$9, ROUNDUP(D176/'Дашборд и Сводка'!$C$6, 0)*0.01)</f>
        <v/>
      </c>
      <c r="F176" s="45">
        <f>'Дашборд и Сводка'!$C$7</f>
        <v/>
      </c>
      <c r="G176" s="29">
        <f>E176*F176*'Дашборд и Сводка'!$C$8</f>
        <v/>
      </c>
      <c r="H176" s="29">
        <f>D176+G176</f>
        <v/>
      </c>
    </row>
    <row r="177" ht="20" customHeight="1">
      <c r="A177" s="33" t="inlineStr">
        <is>
          <t>Июль</t>
        </is>
      </c>
      <c r="B177" s="33" t="n">
        <v>148</v>
      </c>
      <c r="C177" s="33" t="n">
        <v>20</v>
      </c>
      <c r="D177" s="34">
        <f>H176</f>
        <v/>
      </c>
      <c r="E177" s="35">
        <f>MIN('Дашборд и Сводка'!$C$9, ROUNDUP(D177/'Дашборд и Сводка'!$C$6, 0)*0.01)</f>
        <v/>
      </c>
      <c r="F177" s="46">
        <f>'Дашборд и Сводка'!$C$7</f>
        <v/>
      </c>
      <c r="G177" s="34">
        <f>E177*F177*'Дашборд и Сводка'!$C$8</f>
        <v/>
      </c>
      <c r="H177" s="34">
        <f>D177+G177</f>
        <v/>
      </c>
    </row>
    <row r="178" ht="20" customHeight="1">
      <c r="A178" s="28" t="inlineStr">
        <is>
          <t>Июль</t>
        </is>
      </c>
      <c r="B178" s="28" t="n">
        <v>149</v>
      </c>
      <c r="C178" s="28" t="n">
        <v>21</v>
      </c>
      <c r="D178" s="29">
        <f>H177</f>
        <v/>
      </c>
      <c r="E178" s="30">
        <f>MIN('Дашборд и Сводка'!$C$9, ROUNDUP(D178/'Дашборд и Сводка'!$C$6, 0)*0.01)</f>
        <v/>
      </c>
      <c r="F178" s="45">
        <f>'Дашборд и Сводка'!$C$7</f>
        <v/>
      </c>
      <c r="G178" s="29">
        <f>E178*F178*'Дашборд и Сводка'!$C$8</f>
        <v/>
      </c>
      <c r="H178" s="29">
        <f>D178+G178</f>
        <v/>
      </c>
    </row>
    <row r="179" ht="20" customHeight="1">
      <c r="A179" s="33" t="inlineStr">
        <is>
          <t>Июль</t>
        </is>
      </c>
      <c r="B179" s="33" t="n">
        <v>150</v>
      </c>
      <c r="C179" s="33" t="n">
        <v>22</v>
      </c>
      <c r="D179" s="34">
        <f>H178</f>
        <v/>
      </c>
      <c r="E179" s="35">
        <f>MIN('Дашборд и Сводка'!$C$9, ROUNDUP(D179/'Дашборд и Сводка'!$C$6, 0)*0.01)</f>
        <v/>
      </c>
      <c r="F179" s="46">
        <f>'Дашборд и Сводка'!$C$7</f>
        <v/>
      </c>
      <c r="G179" s="34">
        <f>E179*F179*'Дашборд и Сводка'!$C$8</f>
        <v/>
      </c>
      <c r="H179" s="34">
        <f>D179+G179</f>
        <v/>
      </c>
    </row>
    <row r="180" ht="24" customHeight="1">
      <c r="A180" s="47" t="inlineStr">
        <is>
          <t>ИТОГО ЗА ИЮЛЬ:</t>
        </is>
      </c>
      <c r="B180" s="48" t="n"/>
      <c r="C180" s="48" t="n"/>
      <c r="D180" s="49">
        <f>D158</f>
        <v/>
      </c>
      <c r="E180" s="50">
        <f>MAX(E158:E179)</f>
        <v/>
      </c>
      <c r="F180" s="51">
        <f>'Дашборд и Сводка'!$C$7</f>
        <v/>
      </c>
      <c r="G180" s="52">
        <f>SUM(G158:G179)</f>
        <v/>
      </c>
      <c r="H180" s="53">
        <f>H179</f>
        <v/>
      </c>
    </row>
    <row r="182" ht="26" customHeight="1">
      <c r="A182" s="43" t="inlineStr">
        <is>
          <t>МЕСЯЦ 8: АВГУСТ (22 торговых дней)</t>
        </is>
      </c>
    </row>
    <row r="183" ht="24" customHeight="1">
      <c r="A183" s="44" t="inlineStr">
        <is>
          <t>Месяц</t>
        </is>
      </c>
      <c r="B183" s="44" t="inlineStr">
        <is>
          <t>День года</t>
        </is>
      </c>
      <c r="C183" s="44" t="inlineStr">
        <is>
          <t>День месяца</t>
        </is>
      </c>
      <c r="D183" s="44" t="inlineStr">
        <is>
          <t>Начальный депозит ($)</t>
        </is>
      </c>
      <c r="E183" s="44" t="inlineStr">
        <is>
          <t>Размер лота</t>
        </is>
      </c>
      <c r="F183" s="44" t="inlineStr">
        <is>
          <t>Цель (пунктов)</t>
        </is>
      </c>
      <c r="G183" s="44" t="inlineStr">
        <is>
          <t>Прибыль за день ($)</t>
        </is>
      </c>
      <c r="H183" s="44" t="inlineStr">
        <is>
          <t>Итоговый баланс ($)</t>
        </is>
      </c>
    </row>
    <row r="184" ht="20" customHeight="1">
      <c r="A184" s="28" t="inlineStr">
        <is>
          <t>Август</t>
        </is>
      </c>
      <c r="B184" s="28" t="n">
        <v>151</v>
      </c>
      <c r="C184" s="28" t="n">
        <v>1</v>
      </c>
      <c r="D184" s="29">
        <f>H179</f>
        <v/>
      </c>
      <c r="E184" s="30">
        <f>MIN('Дашборд и Сводка'!$C$9, ROUNDUP(D184/'Дашборд и Сводка'!$C$6, 0)*0.01)</f>
        <v/>
      </c>
      <c r="F184" s="45">
        <f>'Дашборд и Сводка'!$C$7</f>
        <v/>
      </c>
      <c r="G184" s="29">
        <f>E184*F184*'Дашборд и Сводка'!$C$8</f>
        <v/>
      </c>
      <c r="H184" s="29">
        <f>D184+G184</f>
        <v/>
      </c>
    </row>
    <row r="185" ht="20" customHeight="1">
      <c r="A185" s="33" t="inlineStr">
        <is>
          <t>Август</t>
        </is>
      </c>
      <c r="B185" s="33" t="n">
        <v>152</v>
      </c>
      <c r="C185" s="33" t="n">
        <v>2</v>
      </c>
      <c r="D185" s="34">
        <f>H184</f>
        <v/>
      </c>
      <c r="E185" s="35">
        <f>MIN('Дашборд и Сводка'!$C$9, ROUNDUP(D185/'Дашборд и Сводка'!$C$6, 0)*0.01)</f>
        <v/>
      </c>
      <c r="F185" s="46">
        <f>'Дашборд и Сводка'!$C$7</f>
        <v/>
      </c>
      <c r="G185" s="34">
        <f>E185*F185*'Дашборд и Сводка'!$C$8</f>
        <v/>
      </c>
      <c r="H185" s="34">
        <f>D185+G185</f>
        <v/>
      </c>
    </row>
    <row r="186" ht="20" customHeight="1">
      <c r="A186" s="28" t="inlineStr">
        <is>
          <t>Август</t>
        </is>
      </c>
      <c r="B186" s="28" t="n">
        <v>153</v>
      </c>
      <c r="C186" s="28" t="n">
        <v>3</v>
      </c>
      <c r="D186" s="29">
        <f>H185</f>
        <v/>
      </c>
      <c r="E186" s="30">
        <f>MIN('Дашборд и Сводка'!$C$9, ROUNDUP(D186/'Дашборд и Сводка'!$C$6, 0)*0.01)</f>
        <v/>
      </c>
      <c r="F186" s="45">
        <f>'Дашборд и Сводка'!$C$7</f>
        <v/>
      </c>
      <c r="G186" s="29">
        <f>E186*F186*'Дашборд и Сводка'!$C$8</f>
        <v/>
      </c>
      <c r="H186" s="29">
        <f>D186+G186</f>
        <v/>
      </c>
    </row>
    <row r="187" ht="20" customHeight="1">
      <c r="A187" s="33" t="inlineStr">
        <is>
          <t>Август</t>
        </is>
      </c>
      <c r="B187" s="33" t="n">
        <v>154</v>
      </c>
      <c r="C187" s="33" t="n">
        <v>4</v>
      </c>
      <c r="D187" s="34">
        <f>H186</f>
        <v/>
      </c>
      <c r="E187" s="35">
        <f>MIN('Дашборд и Сводка'!$C$9, ROUNDUP(D187/'Дашборд и Сводка'!$C$6, 0)*0.01)</f>
        <v/>
      </c>
      <c r="F187" s="46">
        <f>'Дашборд и Сводка'!$C$7</f>
        <v/>
      </c>
      <c r="G187" s="34">
        <f>E187*F187*'Дашборд и Сводка'!$C$8</f>
        <v/>
      </c>
      <c r="H187" s="34">
        <f>D187+G187</f>
        <v/>
      </c>
    </row>
    <row r="188" ht="20" customHeight="1">
      <c r="A188" s="28" t="inlineStr">
        <is>
          <t>Август</t>
        </is>
      </c>
      <c r="B188" s="28" t="n">
        <v>155</v>
      </c>
      <c r="C188" s="28" t="n">
        <v>5</v>
      </c>
      <c r="D188" s="29">
        <f>H187</f>
        <v/>
      </c>
      <c r="E188" s="30">
        <f>MIN('Дашборд и Сводка'!$C$9, ROUNDUP(D188/'Дашборд и Сводка'!$C$6, 0)*0.01)</f>
        <v/>
      </c>
      <c r="F188" s="45">
        <f>'Дашборд и Сводка'!$C$7</f>
        <v/>
      </c>
      <c r="G188" s="29">
        <f>E188*F188*'Дашборд и Сводка'!$C$8</f>
        <v/>
      </c>
      <c r="H188" s="29">
        <f>D188+G188</f>
        <v/>
      </c>
    </row>
    <row r="189" ht="20" customHeight="1">
      <c r="A189" s="33" t="inlineStr">
        <is>
          <t>Август</t>
        </is>
      </c>
      <c r="B189" s="33" t="n">
        <v>156</v>
      </c>
      <c r="C189" s="33" t="n">
        <v>6</v>
      </c>
      <c r="D189" s="34">
        <f>H188</f>
        <v/>
      </c>
      <c r="E189" s="35">
        <f>MIN('Дашборд и Сводка'!$C$9, ROUNDUP(D189/'Дашборд и Сводка'!$C$6, 0)*0.01)</f>
        <v/>
      </c>
      <c r="F189" s="46">
        <f>'Дашборд и Сводка'!$C$7</f>
        <v/>
      </c>
      <c r="G189" s="34">
        <f>E189*F189*'Дашборд и Сводка'!$C$8</f>
        <v/>
      </c>
      <c r="H189" s="34">
        <f>D189+G189</f>
        <v/>
      </c>
    </row>
    <row r="190" ht="20" customHeight="1">
      <c r="A190" s="28" t="inlineStr">
        <is>
          <t>Август</t>
        </is>
      </c>
      <c r="B190" s="28" t="n">
        <v>157</v>
      </c>
      <c r="C190" s="28" t="n">
        <v>7</v>
      </c>
      <c r="D190" s="29">
        <f>H189</f>
        <v/>
      </c>
      <c r="E190" s="30">
        <f>MIN('Дашборд и Сводка'!$C$9, ROUNDUP(D190/'Дашборд и Сводка'!$C$6, 0)*0.01)</f>
        <v/>
      </c>
      <c r="F190" s="45">
        <f>'Дашборд и Сводка'!$C$7</f>
        <v/>
      </c>
      <c r="G190" s="29">
        <f>E190*F190*'Дашборд и Сводка'!$C$8</f>
        <v/>
      </c>
      <c r="H190" s="29">
        <f>D190+G190</f>
        <v/>
      </c>
    </row>
    <row r="191" ht="20" customHeight="1">
      <c r="A191" s="33" t="inlineStr">
        <is>
          <t>Август</t>
        </is>
      </c>
      <c r="B191" s="33" t="n">
        <v>158</v>
      </c>
      <c r="C191" s="33" t="n">
        <v>8</v>
      </c>
      <c r="D191" s="34">
        <f>H190</f>
        <v/>
      </c>
      <c r="E191" s="35">
        <f>MIN('Дашборд и Сводка'!$C$9, ROUNDUP(D191/'Дашборд и Сводка'!$C$6, 0)*0.01)</f>
        <v/>
      </c>
      <c r="F191" s="46">
        <f>'Дашборд и Сводка'!$C$7</f>
        <v/>
      </c>
      <c r="G191" s="34">
        <f>E191*F191*'Дашборд и Сводка'!$C$8</f>
        <v/>
      </c>
      <c r="H191" s="34">
        <f>D191+G191</f>
        <v/>
      </c>
    </row>
    <row r="192" ht="20" customHeight="1">
      <c r="A192" s="28" t="inlineStr">
        <is>
          <t>Август</t>
        </is>
      </c>
      <c r="B192" s="28" t="n">
        <v>159</v>
      </c>
      <c r="C192" s="28" t="n">
        <v>9</v>
      </c>
      <c r="D192" s="29">
        <f>H191</f>
        <v/>
      </c>
      <c r="E192" s="30">
        <f>MIN('Дашборд и Сводка'!$C$9, ROUNDUP(D192/'Дашборд и Сводка'!$C$6, 0)*0.01)</f>
        <v/>
      </c>
      <c r="F192" s="45">
        <f>'Дашборд и Сводка'!$C$7</f>
        <v/>
      </c>
      <c r="G192" s="29">
        <f>E192*F192*'Дашборд и Сводка'!$C$8</f>
        <v/>
      </c>
      <c r="H192" s="29">
        <f>D192+G192</f>
        <v/>
      </c>
    </row>
    <row r="193" ht="20" customHeight="1">
      <c r="A193" s="33" t="inlineStr">
        <is>
          <t>Август</t>
        </is>
      </c>
      <c r="B193" s="33" t="n">
        <v>160</v>
      </c>
      <c r="C193" s="33" t="n">
        <v>10</v>
      </c>
      <c r="D193" s="34">
        <f>H192</f>
        <v/>
      </c>
      <c r="E193" s="35">
        <f>MIN('Дашборд и Сводка'!$C$9, ROUNDUP(D193/'Дашборд и Сводка'!$C$6, 0)*0.01)</f>
        <v/>
      </c>
      <c r="F193" s="46">
        <f>'Дашборд и Сводка'!$C$7</f>
        <v/>
      </c>
      <c r="G193" s="34">
        <f>E193*F193*'Дашборд и Сводка'!$C$8</f>
        <v/>
      </c>
      <c r="H193" s="34">
        <f>D193+G193</f>
        <v/>
      </c>
    </row>
    <row r="194" ht="20" customHeight="1">
      <c r="A194" s="28" t="inlineStr">
        <is>
          <t>Август</t>
        </is>
      </c>
      <c r="B194" s="28" t="n">
        <v>161</v>
      </c>
      <c r="C194" s="28" t="n">
        <v>11</v>
      </c>
      <c r="D194" s="29">
        <f>H193</f>
        <v/>
      </c>
      <c r="E194" s="30">
        <f>MIN('Дашборд и Сводка'!$C$9, ROUNDUP(D194/'Дашборд и Сводка'!$C$6, 0)*0.01)</f>
        <v/>
      </c>
      <c r="F194" s="45">
        <f>'Дашборд и Сводка'!$C$7</f>
        <v/>
      </c>
      <c r="G194" s="29">
        <f>E194*F194*'Дашборд и Сводка'!$C$8</f>
        <v/>
      </c>
      <c r="H194" s="29">
        <f>D194+G194</f>
        <v/>
      </c>
    </row>
    <row r="195" ht="20" customHeight="1">
      <c r="A195" s="33" t="inlineStr">
        <is>
          <t>Август</t>
        </is>
      </c>
      <c r="B195" s="33" t="n">
        <v>162</v>
      </c>
      <c r="C195" s="33" t="n">
        <v>12</v>
      </c>
      <c r="D195" s="34">
        <f>H194</f>
        <v/>
      </c>
      <c r="E195" s="35">
        <f>MIN('Дашборд и Сводка'!$C$9, ROUNDUP(D195/'Дашборд и Сводка'!$C$6, 0)*0.01)</f>
        <v/>
      </c>
      <c r="F195" s="46">
        <f>'Дашборд и Сводка'!$C$7</f>
        <v/>
      </c>
      <c r="G195" s="34">
        <f>E195*F195*'Дашборд и Сводка'!$C$8</f>
        <v/>
      </c>
      <c r="H195" s="34">
        <f>D195+G195</f>
        <v/>
      </c>
    </row>
    <row r="196" ht="20" customHeight="1">
      <c r="A196" s="28" t="inlineStr">
        <is>
          <t>Август</t>
        </is>
      </c>
      <c r="B196" s="28" t="n">
        <v>163</v>
      </c>
      <c r="C196" s="28" t="n">
        <v>13</v>
      </c>
      <c r="D196" s="29">
        <f>H195</f>
        <v/>
      </c>
      <c r="E196" s="30">
        <f>MIN('Дашборд и Сводка'!$C$9, ROUNDUP(D196/'Дашборд и Сводка'!$C$6, 0)*0.01)</f>
        <v/>
      </c>
      <c r="F196" s="45">
        <f>'Дашборд и Сводка'!$C$7</f>
        <v/>
      </c>
      <c r="G196" s="29">
        <f>E196*F196*'Дашборд и Сводка'!$C$8</f>
        <v/>
      </c>
      <c r="H196" s="29">
        <f>D196+G196</f>
        <v/>
      </c>
    </row>
    <row r="197" ht="20" customHeight="1">
      <c r="A197" s="33" t="inlineStr">
        <is>
          <t>Август</t>
        </is>
      </c>
      <c r="B197" s="33" t="n">
        <v>164</v>
      </c>
      <c r="C197" s="33" t="n">
        <v>14</v>
      </c>
      <c r="D197" s="34">
        <f>H196</f>
        <v/>
      </c>
      <c r="E197" s="35">
        <f>MIN('Дашборд и Сводка'!$C$9, ROUNDUP(D197/'Дашборд и Сводка'!$C$6, 0)*0.01)</f>
        <v/>
      </c>
      <c r="F197" s="46">
        <f>'Дашборд и Сводка'!$C$7</f>
        <v/>
      </c>
      <c r="G197" s="34">
        <f>E197*F197*'Дашборд и Сводка'!$C$8</f>
        <v/>
      </c>
      <c r="H197" s="34">
        <f>D197+G197</f>
        <v/>
      </c>
    </row>
    <row r="198" ht="20" customHeight="1">
      <c r="A198" s="28" t="inlineStr">
        <is>
          <t>Август</t>
        </is>
      </c>
      <c r="B198" s="28" t="n">
        <v>165</v>
      </c>
      <c r="C198" s="28" t="n">
        <v>15</v>
      </c>
      <c r="D198" s="29">
        <f>H197</f>
        <v/>
      </c>
      <c r="E198" s="30">
        <f>MIN('Дашборд и Сводка'!$C$9, ROUNDUP(D198/'Дашборд и Сводка'!$C$6, 0)*0.01)</f>
        <v/>
      </c>
      <c r="F198" s="45">
        <f>'Дашборд и Сводка'!$C$7</f>
        <v/>
      </c>
      <c r="G198" s="29">
        <f>E198*F198*'Дашборд и Сводка'!$C$8</f>
        <v/>
      </c>
      <c r="H198" s="29">
        <f>D198+G198</f>
        <v/>
      </c>
    </row>
    <row r="199" ht="20" customHeight="1">
      <c r="A199" s="33" t="inlineStr">
        <is>
          <t>Август</t>
        </is>
      </c>
      <c r="B199" s="33" t="n">
        <v>166</v>
      </c>
      <c r="C199" s="33" t="n">
        <v>16</v>
      </c>
      <c r="D199" s="34">
        <f>H198</f>
        <v/>
      </c>
      <c r="E199" s="35">
        <f>MIN('Дашборд и Сводка'!$C$9, ROUNDUP(D199/'Дашборд и Сводка'!$C$6, 0)*0.01)</f>
        <v/>
      </c>
      <c r="F199" s="46">
        <f>'Дашборд и Сводка'!$C$7</f>
        <v/>
      </c>
      <c r="G199" s="34">
        <f>E199*F199*'Дашборд и Сводка'!$C$8</f>
        <v/>
      </c>
      <c r="H199" s="34">
        <f>D199+G199</f>
        <v/>
      </c>
    </row>
    <row r="200" ht="20" customHeight="1">
      <c r="A200" s="28" t="inlineStr">
        <is>
          <t>Август</t>
        </is>
      </c>
      <c r="B200" s="28" t="n">
        <v>167</v>
      </c>
      <c r="C200" s="28" t="n">
        <v>17</v>
      </c>
      <c r="D200" s="29">
        <f>H199</f>
        <v/>
      </c>
      <c r="E200" s="30">
        <f>MIN('Дашборд и Сводка'!$C$9, ROUNDUP(D200/'Дашборд и Сводка'!$C$6, 0)*0.01)</f>
        <v/>
      </c>
      <c r="F200" s="45">
        <f>'Дашборд и Сводка'!$C$7</f>
        <v/>
      </c>
      <c r="G200" s="29">
        <f>E200*F200*'Дашборд и Сводка'!$C$8</f>
        <v/>
      </c>
      <c r="H200" s="29">
        <f>D200+G200</f>
        <v/>
      </c>
    </row>
    <row r="201" ht="20" customHeight="1">
      <c r="A201" s="33" t="inlineStr">
        <is>
          <t>Август</t>
        </is>
      </c>
      <c r="B201" s="33" t="n">
        <v>168</v>
      </c>
      <c r="C201" s="33" t="n">
        <v>18</v>
      </c>
      <c r="D201" s="34">
        <f>H200</f>
        <v/>
      </c>
      <c r="E201" s="35">
        <f>MIN('Дашборд и Сводка'!$C$9, ROUNDUP(D201/'Дашборд и Сводка'!$C$6, 0)*0.01)</f>
        <v/>
      </c>
      <c r="F201" s="46">
        <f>'Дашборд и Сводка'!$C$7</f>
        <v/>
      </c>
      <c r="G201" s="34">
        <f>E201*F201*'Дашборд и Сводка'!$C$8</f>
        <v/>
      </c>
      <c r="H201" s="34">
        <f>D201+G201</f>
        <v/>
      </c>
    </row>
    <row r="202" ht="20" customHeight="1">
      <c r="A202" s="28" t="inlineStr">
        <is>
          <t>Август</t>
        </is>
      </c>
      <c r="B202" s="28" t="n">
        <v>169</v>
      </c>
      <c r="C202" s="28" t="n">
        <v>19</v>
      </c>
      <c r="D202" s="29">
        <f>H201</f>
        <v/>
      </c>
      <c r="E202" s="30">
        <f>MIN('Дашборд и Сводка'!$C$9, ROUNDUP(D202/'Дашборд и Сводка'!$C$6, 0)*0.01)</f>
        <v/>
      </c>
      <c r="F202" s="45">
        <f>'Дашборд и Сводка'!$C$7</f>
        <v/>
      </c>
      <c r="G202" s="29">
        <f>E202*F202*'Дашборд и Сводка'!$C$8</f>
        <v/>
      </c>
      <c r="H202" s="29">
        <f>D202+G202</f>
        <v/>
      </c>
    </row>
    <row r="203" ht="20" customHeight="1">
      <c r="A203" s="33" t="inlineStr">
        <is>
          <t>Август</t>
        </is>
      </c>
      <c r="B203" s="33" t="n">
        <v>170</v>
      </c>
      <c r="C203" s="33" t="n">
        <v>20</v>
      </c>
      <c r="D203" s="34">
        <f>H202</f>
        <v/>
      </c>
      <c r="E203" s="35">
        <f>MIN('Дашборд и Сводка'!$C$9, ROUNDUP(D203/'Дашборд и Сводка'!$C$6, 0)*0.01)</f>
        <v/>
      </c>
      <c r="F203" s="46">
        <f>'Дашборд и Сводка'!$C$7</f>
        <v/>
      </c>
      <c r="G203" s="34">
        <f>E203*F203*'Дашборд и Сводка'!$C$8</f>
        <v/>
      </c>
      <c r="H203" s="34">
        <f>D203+G203</f>
        <v/>
      </c>
    </row>
    <row r="204" ht="20" customHeight="1">
      <c r="A204" s="28" t="inlineStr">
        <is>
          <t>Август</t>
        </is>
      </c>
      <c r="B204" s="28" t="n">
        <v>171</v>
      </c>
      <c r="C204" s="28" t="n">
        <v>21</v>
      </c>
      <c r="D204" s="29">
        <f>H203</f>
        <v/>
      </c>
      <c r="E204" s="30">
        <f>MIN('Дашборд и Сводка'!$C$9, ROUNDUP(D204/'Дашборд и Сводка'!$C$6, 0)*0.01)</f>
        <v/>
      </c>
      <c r="F204" s="45">
        <f>'Дашборд и Сводка'!$C$7</f>
        <v/>
      </c>
      <c r="G204" s="29">
        <f>E204*F204*'Дашборд и Сводка'!$C$8</f>
        <v/>
      </c>
      <c r="H204" s="29">
        <f>D204+G204</f>
        <v/>
      </c>
    </row>
    <row r="205" ht="20" customHeight="1">
      <c r="A205" s="33" t="inlineStr">
        <is>
          <t>Август</t>
        </is>
      </c>
      <c r="B205" s="33" t="n">
        <v>172</v>
      </c>
      <c r="C205" s="33" t="n">
        <v>22</v>
      </c>
      <c r="D205" s="34">
        <f>H204</f>
        <v/>
      </c>
      <c r="E205" s="35">
        <f>MIN('Дашборд и Сводка'!$C$9, ROUNDUP(D205/'Дашборд и Сводка'!$C$6, 0)*0.01)</f>
        <v/>
      </c>
      <c r="F205" s="46">
        <f>'Дашборд и Сводка'!$C$7</f>
        <v/>
      </c>
      <c r="G205" s="34">
        <f>E205*F205*'Дашборд и Сводка'!$C$8</f>
        <v/>
      </c>
      <c r="H205" s="34">
        <f>D205+G205</f>
        <v/>
      </c>
    </row>
    <row r="206" ht="24" customHeight="1">
      <c r="A206" s="47" t="inlineStr">
        <is>
          <t>ИТОГО ЗА АВГУСТ:</t>
        </is>
      </c>
      <c r="B206" s="48" t="n"/>
      <c r="C206" s="48" t="n"/>
      <c r="D206" s="49">
        <f>D184</f>
        <v/>
      </c>
      <c r="E206" s="50">
        <f>MAX(E184:E205)</f>
        <v/>
      </c>
      <c r="F206" s="51">
        <f>'Дашборд и Сводка'!$C$7</f>
        <v/>
      </c>
      <c r="G206" s="52">
        <f>SUM(G184:G205)</f>
        <v/>
      </c>
      <c r="H206" s="53">
        <f>H205</f>
        <v/>
      </c>
    </row>
    <row r="208" ht="26" customHeight="1">
      <c r="A208" s="43" t="inlineStr">
        <is>
          <t>МЕСЯЦ 9: СЕНТЯБРЬ (21 торговых дней)</t>
        </is>
      </c>
    </row>
    <row r="209" ht="24" customHeight="1">
      <c r="A209" s="44" t="inlineStr">
        <is>
          <t>Месяц</t>
        </is>
      </c>
      <c r="B209" s="44" t="inlineStr">
        <is>
          <t>День года</t>
        </is>
      </c>
      <c r="C209" s="44" t="inlineStr">
        <is>
          <t>День месяца</t>
        </is>
      </c>
      <c r="D209" s="44" t="inlineStr">
        <is>
          <t>Начальный депозит ($)</t>
        </is>
      </c>
      <c r="E209" s="44" t="inlineStr">
        <is>
          <t>Размер лота</t>
        </is>
      </c>
      <c r="F209" s="44" t="inlineStr">
        <is>
          <t>Цель (пунктов)</t>
        </is>
      </c>
      <c r="G209" s="44" t="inlineStr">
        <is>
          <t>Прибыль за день ($)</t>
        </is>
      </c>
      <c r="H209" s="44" t="inlineStr">
        <is>
          <t>Итоговый баланс ($)</t>
        </is>
      </c>
    </row>
    <row r="210" ht="20" customHeight="1">
      <c r="A210" s="28" t="inlineStr">
        <is>
          <t>Сентябрь</t>
        </is>
      </c>
      <c r="B210" s="28" t="n">
        <v>173</v>
      </c>
      <c r="C210" s="28" t="n">
        <v>1</v>
      </c>
      <c r="D210" s="29">
        <f>H205</f>
        <v/>
      </c>
      <c r="E210" s="30">
        <f>MIN('Дашборд и Сводка'!$C$9, ROUNDUP(D210/'Дашборд и Сводка'!$C$6, 0)*0.01)</f>
        <v/>
      </c>
      <c r="F210" s="45">
        <f>'Дашборд и Сводка'!$C$7</f>
        <v/>
      </c>
      <c r="G210" s="29">
        <f>E210*F210*'Дашборд и Сводка'!$C$8</f>
        <v/>
      </c>
      <c r="H210" s="29">
        <f>D210+G210</f>
        <v/>
      </c>
    </row>
    <row r="211" ht="20" customHeight="1">
      <c r="A211" s="33" t="inlineStr">
        <is>
          <t>Сентябрь</t>
        </is>
      </c>
      <c r="B211" s="33" t="n">
        <v>174</v>
      </c>
      <c r="C211" s="33" t="n">
        <v>2</v>
      </c>
      <c r="D211" s="34">
        <f>H210</f>
        <v/>
      </c>
      <c r="E211" s="35">
        <f>MIN('Дашборд и Сводка'!$C$9, ROUNDUP(D211/'Дашборд и Сводка'!$C$6, 0)*0.01)</f>
        <v/>
      </c>
      <c r="F211" s="46">
        <f>'Дашборд и Сводка'!$C$7</f>
        <v/>
      </c>
      <c r="G211" s="34">
        <f>E211*F211*'Дашборд и Сводка'!$C$8</f>
        <v/>
      </c>
      <c r="H211" s="34">
        <f>D211+G211</f>
        <v/>
      </c>
    </row>
    <row r="212" ht="20" customHeight="1">
      <c r="A212" s="28" t="inlineStr">
        <is>
          <t>Сентябрь</t>
        </is>
      </c>
      <c r="B212" s="28" t="n">
        <v>175</v>
      </c>
      <c r="C212" s="28" t="n">
        <v>3</v>
      </c>
      <c r="D212" s="29">
        <f>H211</f>
        <v/>
      </c>
      <c r="E212" s="30">
        <f>MIN('Дашборд и Сводка'!$C$9, ROUNDUP(D212/'Дашборд и Сводка'!$C$6, 0)*0.01)</f>
        <v/>
      </c>
      <c r="F212" s="45">
        <f>'Дашборд и Сводка'!$C$7</f>
        <v/>
      </c>
      <c r="G212" s="29">
        <f>E212*F212*'Дашборд и Сводка'!$C$8</f>
        <v/>
      </c>
      <c r="H212" s="29">
        <f>D212+G212</f>
        <v/>
      </c>
    </row>
    <row r="213" ht="20" customHeight="1">
      <c r="A213" s="33" t="inlineStr">
        <is>
          <t>Сентябрь</t>
        </is>
      </c>
      <c r="B213" s="33" t="n">
        <v>176</v>
      </c>
      <c r="C213" s="33" t="n">
        <v>4</v>
      </c>
      <c r="D213" s="34">
        <f>H212</f>
        <v/>
      </c>
      <c r="E213" s="35">
        <f>MIN('Дашборд и Сводка'!$C$9, ROUNDUP(D213/'Дашборд и Сводка'!$C$6, 0)*0.01)</f>
        <v/>
      </c>
      <c r="F213" s="46">
        <f>'Дашборд и Сводка'!$C$7</f>
        <v/>
      </c>
      <c r="G213" s="34">
        <f>E213*F213*'Дашборд и Сводка'!$C$8</f>
        <v/>
      </c>
      <c r="H213" s="34">
        <f>D213+G213</f>
        <v/>
      </c>
    </row>
    <row r="214" ht="20" customHeight="1">
      <c r="A214" s="28" t="inlineStr">
        <is>
          <t>Сентябрь</t>
        </is>
      </c>
      <c r="B214" s="28" t="n">
        <v>177</v>
      </c>
      <c r="C214" s="28" t="n">
        <v>5</v>
      </c>
      <c r="D214" s="29">
        <f>H213</f>
        <v/>
      </c>
      <c r="E214" s="30">
        <f>MIN('Дашборд и Сводка'!$C$9, ROUNDUP(D214/'Дашборд и Сводка'!$C$6, 0)*0.01)</f>
        <v/>
      </c>
      <c r="F214" s="45">
        <f>'Дашборд и Сводка'!$C$7</f>
        <v/>
      </c>
      <c r="G214" s="29">
        <f>E214*F214*'Дашборд и Сводка'!$C$8</f>
        <v/>
      </c>
      <c r="H214" s="29">
        <f>D214+G214</f>
        <v/>
      </c>
    </row>
    <row r="215" ht="20" customHeight="1">
      <c r="A215" s="33" t="inlineStr">
        <is>
          <t>Сентябрь</t>
        </is>
      </c>
      <c r="B215" s="33" t="n">
        <v>178</v>
      </c>
      <c r="C215" s="33" t="n">
        <v>6</v>
      </c>
      <c r="D215" s="34">
        <f>H214</f>
        <v/>
      </c>
      <c r="E215" s="35">
        <f>MIN('Дашборд и Сводка'!$C$9, ROUNDUP(D215/'Дашборд и Сводка'!$C$6, 0)*0.01)</f>
        <v/>
      </c>
      <c r="F215" s="46">
        <f>'Дашборд и Сводка'!$C$7</f>
        <v/>
      </c>
      <c r="G215" s="34">
        <f>E215*F215*'Дашборд и Сводка'!$C$8</f>
        <v/>
      </c>
      <c r="H215" s="34">
        <f>D215+G215</f>
        <v/>
      </c>
    </row>
    <row r="216" ht="20" customHeight="1">
      <c r="A216" s="28" t="inlineStr">
        <is>
          <t>Сентябрь</t>
        </is>
      </c>
      <c r="B216" s="28" t="n">
        <v>179</v>
      </c>
      <c r="C216" s="28" t="n">
        <v>7</v>
      </c>
      <c r="D216" s="29">
        <f>H215</f>
        <v/>
      </c>
      <c r="E216" s="30">
        <f>MIN('Дашборд и Сводка'!$C$9, ROUNDUP(D216/'Дашборд и Сводка'!$C$6, 0)*0.01)</f>
        <v/>
      </c>
      <c r="F216" s="45">
        <f>'Дашборд и Сводка'!$C$7</f>
        <v/>
      </c>
      <c r="G216" s="29">
        <f>E216*F216*'Дашборд и Сводка'!$C$8</f>
        <v/>
      </c>
      <c r="H216" s="29">
        <f>D216+G216</f>
        <v/>
      </c>
    </row>
    <row r="217" ht="20" customHeight="1">
      <c r="A217" s="33" t="inlineStr">
        <is>
          <t>Сентябрь</t>
        </is>
      </c>
      <c r="B217" s="33" t="n">
        <v>180</v>
      </c>
      <c r="C217" s="33" t="n">
        <v>8</v>
      </c>
      <c r="D217" s="34">
        <f>H216</f>
        <v/>
      </c>
      <c r="E217" s="35">
        <f>MIN('Дашборд и Сводка'!$C$9, ROUNDUP(D217/'Дашборд и Сводка'!$C$6, 0)*0.01)</f>
        <v/>
      </c>
      <c r="F217" s="46">
        <f>'Дашборд и Сводка'!$C$7</f>
        <v/>
      </c>
      <c r="G217" s="34">
        <f>E217*F217*'Дашборд и Сводка'!$C$8</f>
        <v/>
      </c>
      <c r="H217" s="34">
        <f>D217+G217</f>
        <v/>
      </c>
    </row>
    <row r="218" ht="20" customHeight="1">
      <c r="A218" s="28" t="inlineStr">
        <is>
          <t>Сентябрь</t>
        </is>
      </c>
      <c r="B218" s="28" t="n">
        <v>181</v>
      </c>
      <c r="C218" s="28" t="n">
        <v>9</v>
      </c>
      <c r="D218" s="29">
        <f>H217</f>
        <v/>
      </c>
      <c r="E218" s="30">
        <f>MIN('Дашборд и Сводка'!$C$9, ROUNDUP(D218/'Дашборд и Сводка'!$C$6, 0)*0.01)</f>
        <v/>
      </c>
      <c r="F218" s="45">
        <f>'Дашборд и Сводка'!$C$7</f>
        <v/>
      </c>
      <c r="G218" s="29">
        <f>E218*F218*'Дашборд и Сводка'!$C$8</f>
        <v/>
      </c>
      <c r="H218" s="29">
        <f>D218+G218</f>
        <v/>
      </c>
    </row>
    <row r="219" ht="20" customHeight="1">
      <c r="A219" s="33" t="inlineStr">
        <is>
          <t>Сентябрь</t>
        </is>
      </c>
      <c r="B219" s="33" t="n">
        <v>182</v>
      </c>
      <c r="C219" s="33" t="n">
        <v>10</v>
      </c>
      <c r="D219" s="34">
        <f>H218</f>
        <v/>
      </c>
      <c r="E219" s="35">
        <f>MIN('Дашборд и Сводка'!$C$9, ROUNDUP(D219/'Дашборд и Сводка'!$C$6, 0)*0.01)</f>
        <v/>
      </c>
      <c r="F219" s="46">
        <f>'Дашборд и Сводка'!$C$7</f>
        <v/>
      </c>
      <c r="G219" s="34">
        <f>E219*F219*'Дашборд и Сводка'!$C$8</f>
        <v/>
      </c>
      <c r="H219" s="34">
        <f>D219+G219</f>
        <v/>
      </c>
    </row>
    <row r="220" ht="20" customHeight="1">
      <c r="A220" s="28" t="inlineStr">
        <is>
          <t>Сентябрь</t>
        </is>
      </c>
      <c r="B220" s="28" t="n">
        <v>183</v>
      </c>
      <c r="C220" s="28" t="n">
        <v>11</v>
      </c>
      <c r="D220" s="29">
        <f>H219</f>
        <v/>
      </c>
      <c r="E220" s="30">
        <f>MIN('Дашборд и Сводка'!$C$9, ROUNDUP(D220/'Дашборд и Сводка'!$C$6, 0)*0.01)</f>
        <v/>
      </c>
      <c r="F220" s="45">
        <f>'Дашборд и Сводка'!$C$7</f>
        <v/>
      </c>
      <c r="G220" s="29">
        <f>E220*F220*'Дашборд и Сводка'!$C$8</f>
        <v/>
      </c>
      <c r="H220" s="29">
        <f>D220+G220</f>
        <v/>
      </c>
    </row>
    <row r="221" ht="20" customHeight="1">
      <c r="A221" s="33" t="inlineStr">
        <is>
          <t>Сентябрь</t>
        </is>
      </c>
      <c r="B221" s="33" t="n">
        <v>184</v>
      </c>
      <c r="C221" s="33" t="n">
        <v>12</v>
      </c>
      <c r="D221" s="34">
        <f>H220</f>
        <v/>
      </c>
      <c r="E221" s="35">
        <f>MIN('Дашборд и Сводка'!$C$9, ROUNDUP(D221/'Дашборд и Сводка'!$C$6, 0)*0.01)</f>
        <v/>
      </c>
      <c r="F221" s="46">
        <f>'Дашборд и Сводка'!$C$7</f>
        <v/>
      </c>
      <c r="G221" s="34">
        <f>E221*F221*'Дашборд и Сводка'!$C$8</f>
        <v/>
      </c>
      <c r="H221" s="34">
        <f>D221+G221</f>
        <v/>
      </c>
    </row>
    <row r="222" ht="20" customHeight="1">
      <c r="A222" s="28" t="inlineStr">
        <is>
          <t>Сентябрь</t>
        </is>
      </c>
      <c r="B222" s="28" t="n">
        <v>185</v>
      </c>
      <c r="C222" s="28" t="n">
        <v>13</v>
      </c>
      <c r="D222" s="29">
        <f>H221</f>
        <v/>
      </c>
      <c r="E222" s="30">
        <f>MIN('Дашборд и Сводка'!$C$9, ROUNDUP(D222/'Дашборд и Сводка'!$C$6, 0)*0.01)</f>
        <v/>
      </c>
      <c r="F222" s="45">
        <f>'Дашборд и Сводка'!$C$7</f>
        <v/>
      </c>
      <c r="G222" s="29">
        <f>E222*F222*'Дашборд и Сводка'!$C$8</f>
        <v/>
      </c>
      <c r="H222" s="29">
        <f>D222+G222</f>
        <v/>
      </c>
    </row>
    <row r="223" ht="20" customHeight="1">
      <c r="A223" s="33" t="inlineStr">
        <is>
          <t>Сентябрь</t>
        </is>
      </c>
      <c r="B223" s="33" t="n">
        <v>186</v>
      </c>
      <c r="C223" s="33" t="n">
        <v>14</v>
      </c>
      <c r="D223" s="34">
        <f>H222</f>
        <v/>
      </c>
      <c r="E223" s="35">
        <f>MIN('Дашборд и Сводка'!$C$9, ROUNDUP(D223/'Дашборд и Сводка'!$C$6, 0)*0.01)</f>
        <v/>
      </c>
      <c r="F223" s="46">
        <f>'Дашборд и Сводка'!$C$7</f>
        <v/>
      </c>
      <c r="G223" s="34">
        <f>E223*F223*'Дашборд и Сводка'!$C$8</f>
        <v/>
      </c>
      <c r="H223" s="34">
        <f>D223+G223</f>
        <v/>
      </c>
    </row>
    <row r="224" ht="20" customHeight="1">
      <c r="A224" s="28" t="inlineStr">
        <is>
          <t>Сентябрь</t>
        </is>
      </c>
      <c r="B224" s="28" t="n">
        <v>187</v>
      </c>
      <c r="C224" s="28" t="n">
        <v>15</v>
      </c>
      <c r="D224" s="29">
        <f>H223</f>
        <v/>
      </c>
      <c r="E224" s="30">
        <f>MIN('Дашборд и Сводка'!$C$9, ROUNDUP(D224/'Дашборд и Сводка'!$C$6, 0)*0.01)</f>
        <v/>
      </c>
      <c r="F224" s="45">
        <f>'Дашборд и Сводка'!$C$7</f>
        <v/>
      </c>
      <c r="G224" s="29">
        <f>E224*F224*'Дашборд и Сводка'!$C$8</f>
        <v/>
      </c>
      <c r="H224" s="29">
        <f>D224+G224</f>
        <v/>
      </c>
    </row>
    <row r="225" ht="20" customHeight="1">
      <c r="A225" s="33" t="inlineStr">
        <is>
          <t>Сентябрь</t>
        </is>
      </c>
      <c r="B225" s="33" t="n">
        <v>188</v>
      </c>
      <c r="C225" s="33" t="n">
        <v>16</v>
      </c>
      <c r="D225" s="34">
        <f>H224</f>
        <v/>
      </c>
      <c r="E225" s="35">
        <f>MIN('Дашборд и Сводка'!$C$9, ROUNDUP(D225/'Дашборд и Сводка'!$C$6, 0)*0.01)</f>
        <v/>
      </c>
      <c r="F225" s="46">
        <f>'Дашборд и Сводка'!$C$7</f>
        <v/>
      </c>
      <c r="G225" s="34">
        <f>E225*F225*'Дашборд и Сводка'!$C$8</f>
        <v/>
      </c>
      <c r="H225" s="34">
        <f>D225+G225</f>
        <v/>
      </c>
    </row>
    <row r="226" ht="20" customHeight="1">
      <c r="A226" s="28" t="inlineStr">
        <is>
          <t>Сентябрь</t>
        </is>
      </c>
      <c r="B226" s="28" t="n">
        <v>189</v>
      </c>
      <c r="C226" s="28" t="n">
        <v>17</v>
      </c>
      <c r="D226" s="29">
        <f>H225</f>
        <v/>
      </c>
      <c r="E226" s="30">
        <f>MIN('Дашборд и Сводка'!$C$9, ROUNDUP(D226/'Дашборд и Сводка'!$C$6, 0)*0.01)</f>
        <v/>
      </c>
      <c r="F226" s="45">
        <f>'Дашборд и Сводка'!$C$7</f>
        <v/>
      </c>
      <c r="G226" s="29">
        <f>E226*F226*'Дашборд и Сводка'!$C$8</f>
        <v/>
      </c>
      <c r="H226" s="29">
        <f>D226+G226</f>
        <v/>
      </c>
    </row>
    <row r="227" ht="20" customHeight="1">
      <c r="A227" s="33" t="inlineStr">
        <is>
          <t>Сентябрь</t>
        </is>
      </c>
      <c r="B227" s="33" t="n">
        <v>190</v>
      </c>
      <c r="C227" s="33" t="n">
        <v>18</v>
      </c>
      <c r="D227" s="34">
        <f>H226</f>
        <v/>
      </c>
      <c r="E227" s="35">
        <f>MIN('Дашборд и Сводка'!$C$9, ROUNDUP(D227/'Дашборд и Сводка'!$C$6, 0)*0.01)</f>
        <v/>
      </c>
      <c r="F227" s="46">
        <f>'Дашборд и Сводка'!$C$7</f>
        <v/>
      </c>
      <c r="G227" s="34">
        <f>E227*F227*'Дашборд и Сводка'!$C$8</f>
        <v/>
      </c>
      <c r="H227" s="34">
        <f>D227+G227</f>
        <v/>
      </c>
    </row>
    <row r="228" ht="20" customHeight="1">
      <c r="A228" s="28" t="inlineStr">
        <is>
          <t>Сентябрь</t>
        </is>
      </c>
      <c r="B228" s="28" t="n">
        <v>191</v>
      </c>
      <c r="C228" s="28" t="n">
        <v>19</v>
      </c>
      <c r="D228" s="29">
        <f>H227</f>
        <v/>
      </c>
      <c r="E228" s="30">
        <f>MIN('Дашборд и Сводка'!$C$9, ROUNDUP(D228/'Дашборд и Сводка'!$C$6, 0)*0.01)</f>
        <v/>
      </c>
      <c r="F228" s="45">
        <f>'Дашборд и Сводка'!$C$7</f>
        <v/>
      </c>
      <c r="G228" s="29">
        <f>E228*F228*'Дашборд и Сводка'!$C$8</f>
        <v/>
      </c>
      <c r="H228" s="29">
        <f>D228+G228</f>
        <v/>
      </c>
    </row>
    <row r="229" ht="20" customHeight="1">
      <c r="A229" s="33" t="inlineStr">
        <is>
          <t>Сентябрь</t>
        </is>
      </c>
      <c r="B229" s="33" t="n">
        <v>192</v>
      </c>
      <c r="C229" s="33" t="n">
        <v>20</v>
      </c>
      <c r="D229" s="34">
        <f>H228</f>
        <v/>
      </c>
      <c r="E229" s="35">
        <f>MIN('Дашборд и Сводка'!$C$9, ROUNDUP(D229/'Дашборд и Сводка'!$C$6, 0)*0.01)</f>
        <v/>
      </c>
      <c r="F229" s="46">
        <f>'Дашборд и Сводка'!$C$7</f>
        <v/>
      </c>
      <c r="G229" s="34">
        <f>E229*F229*'Дашборд и Сводка'!$C$8</f>
        <v/>
      </c>
      <c r="H229" s="34">
        <f>D229+G229</f>
        <v/>
      </c>
    </row>
    <row r="230" ht="20" customHeight="1">
      <c r="A230" s="28" t="inlineStr">
        <is>
          <t>Сентябрь</t>
        </is>
      </c>
      <c r="B230" s="28" t="n">
        <v>193</v>
      </c>
      <c r="C230" s="28" t="n">
        <v>21</v>
      </c>
      <c r="D230" s="29">
        <f>H229</f>
        <v/>
      </c>
      <c r="E230" s="30">
        <f>MIN('Дашборд и Сводка'!$C$9, ROUNDUP(D230/'Дашборд и Сводка'!$C$6, 0)*0.01)</f>
        <v/>
      </c>
      <c r="F230" s="45">
        <f>'Дашборд и Сводка'!$C$7</f>
        <v/>
      </c>
      <c r="G230" s="29">
        <f>E230*F230*'Дашборд и Сводка'!$C$8</f>
        <v/>
      </c>
      <c r="H230" s="29">
        <f>D230+G230</f>
        <v/>
      </c>
    </row>
    <row r="231" ht="24" customHeight="1">
      <c r="A231" s="47" t="inlineStr">
        <is>
          <t>ИТОГО ЗА СЕНТЯБРЬ:</t>
        </is>
      </c>
      <c r="B231" s="48" t="n"/>
      <c r="C231" s="48" t="n"/>
      <c r="D231" s="49">
        <f>D210</f>
        <v/>
      </c>
      <c r="E231" s="50">
        <f>MAX(E210:E230)</f>
        <v/>
      </c>
      <c r="F231" s="51">
        <f>'Дашборд и Сводка'!$C$7</f>
        <v/>
      </c>
      <c r="G231" s="52">
        <f>SUM(G210:G230)</f>
        <v/>
      </c>
      <c r="H231" s="53">
        <f>H230</f>
        <v/>
      </c>
    </row>
    <row r="233" ht="26" customHeight="1">
      <c r="A233" s="43" t="inlineStr">
        <is>
          <t>МЕСЯЦ 10: ОКТЯБРЬ (22 торговых дней)</t>
        </is>
      </c>
    </row>
    <row r="234" ht="24" customHeight="1">
      <c r="A234" s="44" t="inlineStr">
        <is>
          <t>Месяц</t>
        </is>
      </c>
      <c r="B234" s="44" t="inlineStr">
        <is>
          <t>День года</t>
        </is>
      </c>
      <c r="C234" s="44" t="inlineStr">
        <is>
          <t>День месяца</t>
        </is>
      </c>
      <c r="D234" s="44" t="inlineStr">
        <is>
          <t>Начальный депозит ($)</t>
        </is>
      </c>
      <c r="E234" s="44" t="inlineStr">
        <is>
          <t>Размер лота</t>
        </is>
      </c>
      <c r="F234" s="44" t="inlineStr">
        <is>
          <t>Цель (пунктов)</t>
        </is>
      </c>
      <c r="G234" s="44" t="inlineStr">
        <is>
          <t>Прибыль за день ($)</t>
        </is>
      </c>
      <c r="H234" s="44" t="inlineStr">
        <is>
          <t>Итоговый баланс ($)</t>
        </is>
      </c>
    </row>
    <row r="235" ht="20" customHeight="1">
      <c r="A235" s="28" t="inlineStr">
        <is>
          <t>Октябрь</t>
        </is>
      </c>
      <c r="B235" s="28" t="n">
        <v>194</v>
      </c>
      <c r="C235" s="28" t="n">
        <v>1</v>
      </c>
      <c r="D235" s="29">
        <f>H230</f>
        <v/>
      </c>
      <c r="E235" s="30">
        <f>MIN('Дашборд и Сводка'!$C$9, ROUNDUP(D235/'Дашборд и Сводка'!$C$6, 0)*0.01)</f>
        <v/>
      </c>
      <c r="F235" s="45">
        <f>'Дашборд и Сводка'!$C$7</f>
        <v/>
      </c>
      <c r="G235" s="29">
        <f>E235*F235*'Дашборд и Сводка'!$C$8</f>
        <v/>
      </c>
      <c r="H235" s="29">
        <f>D235+G235</f>
        <v/>
      </c>
    </row>
    <row r="236" ht="20" customHeight="1">
      <c r="A236" s="33" t="inlineStr">
        <is>
          <t>Октябрь</t>
        </is>
      </c>
      <c r="B236" s="33" t="n">
        <v>195</v>
      </c>
      <c r="C236" s="33" t="n">
        <v>2</v>
      </c>
      <c r="D236" s="34">
        <f>H235</f>
        <v/>
      </c>
      <c r="E236" s="35">
        <f>MIN('Дашборд и Сводка'!$C$9, ROUNDUP(D236/'Дашборд и Сводка'!$C$6, 0)*0.01)</f>
        <v/>
      </c>
      <c r="F236" s="46">
        <f>'Дашборд и Сводка'!$C$7</f>
        <v/>
      </c>
      <c r="G236" s="34">
        <f>E236*F236*'Дашборд и Сводка'!$C$8</f>
        <v/>
      </c>
      <c r="H236" s="34">
        <f>D236+G236</f>
        <v/>
      </c>
    </row>
    <row r="237" ht="20" customHeight="1">
      <c r="A237" s="28" t="inlineStr">
        <is>
          <t>Октябрь</t>
        </is>
      </c>
      <c r="B237" s="28" t="n">
        <v>196</v>
      </c>
      <c r="C237" s="28" t="n">
        <v>3</v>
      </c>
      <c r="D237" s="29">
        <f>H236</f>
        <v/>
      </c>
      <c r="E237" s="30">
        <f>MIN('Дашборд и Сводка'!$C$9, ROUNDUP(D237/'Дашборд и Сводка'!$C$6, 0)*0.01)</f>
        <v/>
      </c>
      <c r="F237" s="45">
        <f>'Дашборд и Сводка'!$C$7</f>
        <v/>
      </c>
      <c r="G237" s="29">
        <f>E237*F237*'Дашборд и Сводка'!$C$8</f>
        <v/>
      </c>
      <c r="H237" s="29">
        <f>D237+G237</f>
        <v/>
      </c>
    </row>
    <row r="238" ht="20" customHeight="1">
      <c r="A238" s="33" t="inlineStr">
        <is>
          <t>Октябрь</t>
        </is>
      </c>
      <c r="B238" s="33" t="n">
        <v>197</v>
      </c>
      <c r="C238" s="33" t="n">
        <v>4</v>
      </c>
      <c r="D238" s="34">
        <f>H237</f>
        <v/>
      </c>
      <c r="E238" s="35">
        <f>MIN('Дашборд и Сводка'!$C$9, ROUNDUP(D238/'Дашборд и Сводка'!$C$6, 0)*0.01)</f>
        <v/>
      </c>
      <c r="F238" s="46">
        <f>'Дашборд и Сводка'!$C$7</f>
        <v/>
      </c>
      <c r="G238" s="34">
        <f>E238*F238*'Дашборд и Сводка'!$C$8</f>
        <v/>
      </c>
      <c r="H238" s="34">
        <f>D238+G238</f>
        <v/>
      </c>
    </row>
    <row r="239" ht="20" customHeight="1">
      <c r="A239" s="28" t="inlineStr">
        <is>
          <t>Октябрь</t>
        </is>
      </c>
      <c r="B239" s="28" t="n">
        <v>198</v>
      </c>
      <c r="C239" s="28" t="n">
        <v>5</v>
      </c>
      <c r="D239" s="29">
        <f>H238</f>
        <v/>
      </c>
      <c r="E239" s="30">
        <f>MIN('Дашборд и Сводка'!$C$9, ROUNDUP(D239/'Дашборд и Сводка'!$C$6, 0)*0.01)</f>
        <v/>
      </c>
      <c r="F239" s="45">
        <f>'Дашборд и Сводка'!$C$7</f>
        <v/>
      </c>
      <c r="G239" s="29">
        <f>E239*F239*'Дашборд и Сводка'!$C$8</f>
        <v/>
      </c>
      <c r="H239" s="29">
        <f>D239+G239</f>
        <v/>
      </c>
    </row>
    <row r="240" ht="20" customHeight="1">
      <c r="A240" s="33" t="inlineStr">
        <is>
          <t>Октябрь</t>
        </is>
      </c>
      <c r="B240" s="33" t="n">
        <v>199</v>
      </c>
      <c r="C240" s="33" t="n">
        <v>6</v>
      </c>
      <c r="D240" s="34">
        <f>H239</f>
        <v/>
      </c>
      <c r="E240" s="35">
        <f>MIN('Дашборд и Сводка'!$C$9, ROUNDUP(D240/'Дашборд и Сводка'!$C$6, 0)*0.01)</f>
        <v/>
      </c>
      <c r="F240" s="46">
        <f>'Дашборд и Сводка'!$C$7</f>
        <v/>
      </c>
      <c r="G240" s="34">
        <f>E240*F240*'Дашборд и Сводка'!$C$8</f>
        <v/>
      </c>
      <c r="H240" s="34">
        <f>D240+G240</f>
        <v/>
      </c>
    </row>
    <row r="241" ht="20" customHeight="1">
      <c r="A241" s="28" t="inlineStr">
        <is>
          <t>Октябрь</t>
        </is>
      </c>
      <c r="B241" s="28" t="n">
        <v>200</v>
      </c>
      <c r="C241" s="28" t="n">
        <v>7</v>
      </c>
      <c r="D241" s="29">
        <f>H240</f>
        <v/>
      </c>
      <c r="E241" s="30">
        <f>MIN('Дашборд и Сводка'!$C$9, ROUNDUP(D241/'Дашборд и Сводка'!$C$6, 0)*0.01)</f>
        <v/>
      </c>
      <c r="F241" s="45">
        <f>'Дашборд и Сводка'!$C$7</f>
        <v/>
      </c>
      <c r="G241" s="29">
        <f>E241*F241*'Дашборд и Сводка'!$C$8</f>
        <v/>
      </c>
      <c r="H241" s="29">
        <f>D241+G241</f>
        <v/>
      </c>
    </row>
    <row r="242" ht="20" customHeight="1">
      <c r="A242" s="33" t="inlineStr">
        <is>
          <t>Октябрь</t>
        </is>
      </c>
      <c r="B242" s="33" t="n">
        <v>201</v>
      </c>
      <c r="C242" s="33" t="n">
        <v>8</v>
      </c>
      <c r="D242" s="34">
        <f>H241</f>
        <v/>
      </c>
      <c r="E242" s="35">
        <f>MIN('Дашборд и Сводка'!$C$9, ROUNDUP(D242/'Дашборд и Сводка'!$C$6, 0)*0.01)</f>
        <v/>
      </c>
      <c r="F242" s="46">
        <f>'Дашборд и Сводка'!$C$7</f>
        <v/>
      </c>
      <c r="G242" s="34">
        <f>E242*F242*'Дашборд и Сводка'!$C$8</f>
        <v/>
      </c>
      <c r="H242" s="34">
        <f>D242+G242</f>
        <v/>
      </c>
    </row>
    <row r="243" ht="20" customHeight="1">
      <c r="A243" s="28" t="inlineStr">
        <is>
          <t>Октябрь</t>
        </is>
      </c>
      <c r="B243" s="28" t="n">
        <v>202</v>
      </c>
      <c r="C243" s="28" t="n">
        <v>9</v>
      </c>
      <c r="D243" s="29">
        <f>H242</f>
        <v/>
      </c>
      <c r="E243" s="30">
        <f>MIN('Дашборд и Сводка'!$C$9, ROUNDUP(D243/'Дашборд и Сводка'!$C$6, 0)*0.01)</f>
        <v/>
      </c>
      <c r="F243" s="45">
        <f>'Дашборд и Сводка'!$C$7</f>
        <v/>
      </c>
      <c r="G243" s="29">
        <f>E243*F243*'Дашборд и Сводка'!$C$8</f>
        <v/>
      </c>
      <c r="H243" s="29">
        <f>D243+G243</f>
        <v/>
      </c>
    </row>
    <row r="244" ht="20" customHeight="1">
      <c r="A244" s="33" t="inlineStr">
        <is>
          <t>Октябрь</t>
        </is>
      </c>
      <c r="B244" s="33" t="n">
        <v>203</v>
      </c>
      <c r="C244" s="33" t="n">
        <v>10</v>
      </c>
      <c r="D244" s="34">
        <f>H243</f>
        <v/>
      </c>
      <c r="E244" s="35">
        <f>MIN('Дашборд и Сводка'!$C$9, ROUNDUP(D244/'Дашборд и Сводка'!$C$6, 0)*0.01)</f>
        <v/>
      </c>
      <c r="F244" s="46">
        <f>'Дашборд и Сводка'!$C$7</f>
        <v/>
      </c>
      <c r="G244" s="34">
        <f>E244*F244*'Дашборд и Сводка'!$C$8</f>
        <v/>
      </c>
      <c r="H244" s="34">
        <f>D244+G244</f>
        <v/>
      </c>
    </row>
    <row r="245" ht="20" customHeight="1">
      <c r="A245" s="28" t="inlineStr">
        <is>
          <t>Октябрь</t>
        </is>
      </c>
      <c r="B245" s="28" t="n">
        <v>204</v>
      </c>
      <c r="C245" s="28" t="n">
        <v>11</v>
      </c>
      <c r="D245" s="29">
        <f>H244</f>
        <v/>
      </c>
      <c r="E245" s="30">
        <f>MIN('Дашборд и Сводка'!$C$9, ROUNDUP(D245/'Дашборд и Сводка'!$C$6, 0)*0.01)</f>
        <v/>
      </c>
      <c r="F245" s="45">
        <f>'Дашборд и Сводка'!$C$7</f>
        <v/>
      </c>
      <c r="G245" s="29">
        <f>E245*F245*'Дашборд и Сводка'!$C$8</f>
        <v/>
      </c>
      <c r="H245" s="29">
        <f>D245+G245</f>
        <v/>
      </c>
    </row>
    <row r="246" ht="20" customHeight="1">
      <c r="A246" s="33" t="inlineStr">
        <is>
          <t>Октябрь</t>
        </is>
      </c>
      <c r="B246" s="33" t="n">
        <v>205</v>
      </c>
      <c r="C246" s="33" t="n">
        <v>12</v>
      </c>
      <c r="D246" s="34">
        <f>H245</f>
        <v/>
      </c>
      <c r="E246" s="35">
        <f>MIN('Дашборд и Сводка'!$C$9, ROUNDUP(D246/'Дашборд и Сводка'!$C$6, 0)*0.01)</f>
        <v/>
      </c>
      <c r="F246" s="46">
        <f>'Дашборд и Сводка'!$C$7</f>
        <v/>
      </c>
      <c r="G246" s="34">
        <f>E246*F246*'Дашборд и Сводка'!$C$8</f>
        <v/>
      </c>
      <c r="H246" s="34">
        <f>D246+G246</f>
        <v/>
      </c>
    </row>
    <row r="247" ht="20" customHeight="1">
      <c r="A247" s="28" t="inlineStr">
        <is>
          <t>Октябрь</t>
        </is>
      </c>
      <c r="B247" s="28" t="n">
        <v>206</v>
      </c>
      <c r="C247" s="28" t="n">
        <v>13</v>
      </c>
      <c r="D247" s="29">
        <f>H246</f>
        <v/>
      </c>
      <c r="E247" s="30">
        <f>MIN('Дашборд и Сводка'!$C$9, ROUNDUP(D247/'Дашборд и Сводка'!$C$6, 0)*0.01)</f>
        <v/>
      </c>
      <c r="F247" s="45">
        <f>'Дашборд и Сводка'!$C$7</f>
        <v/>
      </c>
      <c r="G247" s="29">
        <f>E247*F247*'Дашборд и Сводка'!$C$8</f>
        <v/>
      </c>
      <c r="H247" s="29">
        <f>D247+G247</f>
        <v/>
      </c>
    </row>
    <row r="248" ht="20" customHeight="1">
      <c r="A248" s="33" t="inlineStr">
        <is>
          <t>Октябрь</t>
        </is>
      </c>
      <c r="B248" s="33" t="n">
        <v>207</v>
      </c>
      <c r="C248" s="33" t="n">
        <v>14</v>
      </c>
      <c r="D248" s="34">
        <f>H247</f>
        <v/>
      </c>
      <c r="E248" s="35">
        <f>MIN('Дашборд и Сводка'!$C$9, ROUNDUP(D248/'Дашборд и Сводка'!$C$6, 0)*0.01)</f>
        <v/>
      </c>
      <c r="F248" s="46">
        <f>'Дашборд и Сводка'!$C$7</f>
        <v/>
      </c>
      <c r="G248" s="34">
        <f>E248*F248*'Дашборд и Сводка'!$C$8</f>
        <v/>
      </c>
      <c r="H248" s="34">
        <f>D248+G248</f>
        <v/>
      </c>
    </row>
    <row r="249" ht="20" customHeight="1">
      <c r="A249" s="28" t="inlineStr">
        <is>
          <t>Октябрь</t>
        </is>
      </c>
      <c r="B249" s="28" t="n">
        <v>208</v>
      </c>
      <c r="C249" s="28" t="n">
        <v>15</v>
      </c>
      <c r="D249" s="29">
        <f>H248</f>
        <v/>
      </c>
      <c r="E249" s="30">
        <f>MIN('Дашборд и Сводка'!$C$9, ROUNDUP(D249/'Дашборд и Сводка'!$C$6, 0)*0.01)</f>
        <v/>
      </c>
      <c r="F249" s="45">
        <f>'Дашборд и Сводка'!$C$7</f>
        <v/>
      </c>
      <c r="G249" s="29">
        <f>E249*F249*'Дашборд и Сводка'!$C$8</f>
        <v/>
      </c>
      <c r="H249" s="29">
        <f>D249+G249</f>
        <v/>
      </c>
    </row>
    <row r="250" ht="20" customHeight="1">
      <c r="A250" s="33" t="inlineStr">
        <is>
          <t>Октябрь</t>
        </is>
      </c>
      <c r="B250" s="33" t="n">
        <v>209</v>
      </c>
      <c r="C250" s="33" t="n">
        <v>16</v>
      </c>
      <c r="D250" s="34">
        <f>H249</f>
        <v/>
      </c>
      <c r="E250" s="35">
        <f>MIN('Дашборд и Сводка'!$C$9, ROUNDUP(D250/'Дашборд и Сводка'!$C$6, 0)*0.01)</f>
        <v/>
      </c>
      <c r="F250" s="46">
        <f>'Дашборд и Сводка'!$C$7</f>
        <v/>
      </c>
      <c r="G250" s="34">
        <f>E250*F250*'Дашборд и Сводка'!$C$8</f>
        <v/>
      </c>
      <c r="H250" s="34">
        <f>D250+G250</f>
        <v/>
      </c>
    </row>
    <row r="251" ht="20" customHeight="1">
      <c r="A251" s="28" t="inlineStr">
        <is>
          <t>Октябрь</t>
        </is>
      </c>
      <c r="B251" s="28" t="n">
        <v>210</v>
      </c>
      <c r="C251" s="28" t="n">
        <v>17</v>
      </c>
      <c r="D251" s="29">
        <f>H250</f>
        <v/>
      </c>
      <c r="E251" s="30">
        <f>MIN('Дашборд и Сводка'!$C$9, ROUNDUP(D251/'Дашборд и Сводка'!$C$6, 0)*0.01)</f>
        <v/>
      </c>
      <c r="F251" s="45">
        <f>'Дашборд и Сводка'!$C$7</f>
        <v/>
      </c>
      <c r="G251" s="29">
        <f>E251*F251*'Дашборд и Сводка'!$C$8</f>
        <v/>
      </c>
      <c r="H251" s="29">
        <f>D251+G251</f>
        <v/>
      </c>
    </row>
    <row r="252" ht="20" customHeight="1">
      <c r="A252" s="33" t="inlineStr">
        <is>
          <t>Октябрь</t>
        </is>
      </c>
      <c r="B252" s="33" t="n">
        <v>211</v>
      </c>
      <c r="C252" s="33" t="n">
        <v>18</v>
      </c>
      <c r="D252" s="34">
        <f>H251</f>
        <v/>
      </c>
      <c r="E252" s="35">
        <f>MIN('Дашборд и Сводка'!$C$9, ROUNDUP(D252/'Дашборд и Сводка'!$C$6, 0)*0.01)</f>
        <v/>
      </c>
      <c r="F252" s="46">
        <f>'Дашборд и Сводка'!$C$7</f>
        <v/>
      </c>
      <c r="G252" s="34">
        <f>E252*F252*'Дашборд и Сводка'!$C$8</f>
        <v/>
      </c>
      <c r="H252" s="34">
        <f>D252+G252</f>
        <v/>
      </c>
    </row>
    <row r="253" ht="20" customHeight="1">
      <c r="A253" s="28" t="inlineStr">
        <is>
          <t>Октябрь</t>
        </is>
      </c>
      <c r="B253" s="28" t="n">
        <v>212</v>
      </c>
      <c r="C253" s="28" t="n">
        <v>19</v>
      </c>
      <c r="D253" s="29">
        <f>H252</f>
        <v/>
      </c>
      <c r="E253" s="30">
        <f>MIN('Дашборд и Сводка'!$C$9, ROUNDUP(D253/'Дашборд и Сводка'!$C$6, 0)*0.01)</f>
        <v/>
      </c>
      <c r="F253" s="45">
        <f>'Дашборд и Сводка'!$C$7</f>
        <v/>
      </c>
      <c r="G253" s="29">
        <f>E253*F253*'Дашборд и Сводка'!$C$8</f>
        <v/>
      </c>
      <c r="H253" s="29">
        <f>D253+G253</f>
        <v/>
      </c>
    </row>
    <row r="254" ht="20" customHeight="1">
      <c r="A254" s="33" t="inlineStr">
        <is>
          <t>Октябрь</t>
        </is>
      </c>
      <c r="B254" s="33" t="n">
        <v>213</v>
      </c>
      <c r="C254" s="33" t="n">
        <v>20</v>
      </c>
      <c r="D254" s="34">
        <f>H253</f>
        <v/>
      </c>
      <c r="E254" s="35">
        <f>MIN('Дашборд и Сводка'!$C$9, ROUNDUP(D254/'Дашборд и Сводка'!$C$6, 0)*0.01)</f>
        <v/>
      </c>
      <c r="F254" s="46">
        <f>'Дашборд и Сводка'!$C$7</f>
        <v/>
      </c>
      <c r="G254" s="34">
        <f>E254*F254*'Дашборд и Сводка'!$C$8</f>
        <v/>
      </c>
      <c r="H254" s="34">
        <f>D254+G254</f>
        <v/>
      </c>
    </row>
    <row r="255" ht="20" customHeight="1">
      <c r="A255" s="28" t="inlineStr">
        <is>
          <t>Октябрь</t>
        </is>
      </c>
      <c r="B255" s="28" t="n">
        <v>214</v>
      </c>
      <c r="C255" s="28" t="n">
        <v>21</v>
      </c>
      <c r="D255" s="29">
        <f>H254</f>
        <v/>
      </c>
      <c r="E255" s="30">
        <f>MIN('Дашборд и Сводка'!$C$9, ROUNDUP(D255/'Дашборд и Сводка'!$C$6, 0)*0.01)</f>
        <v/>
      </c>
      <c r="F255" s="45">
        <f>'Дашборд и Сводка'!$C$7</f>
        <v/>
      </c>
      <c r="G255" s="29">
        <f>E255*F255*'Дашборд и Сводка'!$C$8</f>
        <v/>
      </c>
      <c r="H255" s="29">
        <f>D255+G255</f>
        <v/>
      </c>
    </row>
    <row r="256" ht="20" customHeight="1">
      <c r="A256" s="33" t="inlineStr">
        <is>
          <t>Октябрь</t>
        </is>
      </c>
      <c r="B256" s="33" t="n">
        <v>215</v>
      </c>
      <c r="C256" s="33" t="n">
        <v>22</v>
      </c>
      <c r="D256" s="34">
        <f>H255</f>
        <v/>
      </c>
      <c r="E256" s="35">
        <f>MIN('Дашборд и Сводка'!$C$9, ROUNDUP(D256/'Дашборд и Сводка'!$C$6, 0)*0.01)</f>
        <v/>
      </c>
      <c r="F256" s="46">
        <f>'Дашборд и Сводка'!$C$7</f>
        <v/>
      </c>
      <c r="G256" s="34">
        <f>E256*F256*'Дашборд и Сводка'!$C$8</f>
        <v/>
      </c>
      <c r="H256" s="34">
        <f>D256+G256</f>
        <v/>
      </c>
    </row>
    <row r="257" ht="24" customHeight="1">
      <c r="A257" s="47" t="inlineStr">
        <is>
          <t>ИТОГО ЗА ОКТЯБРЬ:</t>
        </is>
      </c>
      <c r="B257" s="48" t="n"/>
      <c r="C257" s="48" t="n"/>
      <c r="D257" s="49">
        <f>D235</f>
        <v/>
      </c>
      <c r="E257" s="50">
        <f>MAX(E235:E256)</f>
        <v/>
      </c>
      <c r="F257" s="51">
        <f>'Дашборд и Сводка'!$C$7</f>
        <v/>
      </c>
      <c r="G257" s="52">
        <f>SUM(G235:G256)</f>
        <v/>
      </c>
      <c r="H257" s="53">
        <f>H256</f>
        <v/>
      </c>
    </row>
    <row r="259" ht="26" customHeight="1">
      <c r="A259" s="43" t="inlineStr">
        <is>
          <t>МЕСЯЦ 11: НОЯБРЬ (21 торговых дней)</t>
        </is>
      </c>
    </row>
    <row r="260" ht="24" customHeight="1">
      <c r="A260" s="44" t="inlineStr">
        <is>
          <t>Месяц</t>
        </is>
      </c>
      <c r="B260" s="44" t="inlineStr">
        <is>
          <t>День года</t>
        </is>
      </c>
      <c r="C260" s="44" t="inlineStr">
        <is>
          <t>День месяца</t>
        </is>
      </c>
      <c r="D260" s="44" t="inlineStr">
        <is>
          <t>Начальный депозит ($)</t>
        </is>
      </c>
      <c r="E260" s="44" t="inlineStr">
        <is>
          <t>Размер лота</t>
        </is>
      </c>
      <c r="F260" s="44" t="inlineStr">
        <is>
          <t>Цель (пунктов)</t>
        </is>
      </c>
      <c r="G260" s="44" t="inlineStr">
        <is>
          <t>Прибыль за день ($)</t>
        </is>
      </c>
      <c r="H260" s="44" t="inlineStr">
        <is>
          <t>Итоговый баланс ($)</t>
        </is>
      </c>
    </row>
    <row r="261" ht="20" customHeight="1">
      <c r="A261" s="28" t="inlineStr">
        <is>
          <t>Ноябрь</t>
        </is>
      </c>
      <c r="B261" s="28" t="n">
        <v>216</v>
      </c>
      <c r="C261" s="28" t="n">
        <v>1</v>
      </c>
      <c r="D261" s="29">
        <f>H256</f>
        <v/>
      </c>
      <c r="E261" s="30">
        <f>MIN('Дашборд и Сводка'!$C$9, ROUNDUP(D261/'Дашборд и Сводка'!$C$6, 0)*0.01)</f>
        <v/>
      </c>
      <c r="F261" s="45">
        <f>'Дашборд и Сводка'!$C$7</f>
        <v/>
      </c>
      <c r="G261" s="29">
        <f>E261*F261*'Дашборд и Сводка'!$C$8</f>
        <v/>
      </c>
      <c r="H261" s="29">
        <f>D261+G261</f>
        <v/>
      </c>
    </row>
    <row r="262" ht="20" customHeight="1">
      <c r="A262" s="33" t="inlineStr">
        <is>
          <t>Ноябрь</t>
        </is>
      </c>
      <c r="B262" s="33" t="n">
        <v>217</v>
      </c>
      <c r="C262" s="33" t="n">
        <v>2</v>
      </c>
      <c r="D262" s="34">
        <f>H261</f>
        <v/>
      </c>
      <c r="E262" s="35">
        <f>MIN('Дашборд и Сводка'!$C$9, ROUNDUP(D262/'Дашборд и Сводка'!$C$6, 0)*0.01)</f>
        <v/>
      </c>
      <c r="F262" s="46">
        <f>'Дашборд и Сводка'!$C$7</f>
        <v/>
      </c>
      <c r="G262" s="34">
        <f>E262*F262*'Дашборд и Сводка'!$C$8</f>
        <v/>
      </c>
      <c r="H262" s="34">
        <f>D262+G262</f>
        <v/>
      </c>
    </row>
    <row r="263" ht="20" customHeight="1">
      <c r="A263" s="28" t="inlineStr">
        <is>
          <t>Ноябрь</t>
        </is>
      </c>
      <c r="B263" s="28" t="n">
        <v>218</v>
      </c>
      <c r="C263" s="28" t="n">
        <v>3</v>
      </c>
      <c r="D263" s="29">
        <f>H262</f>
        <v/>
      </c>
      <c r="E263" s="30">
        <f>MIN('Дашборд и Сводка'!$C$9, ROUNDUP(D263/'Дашборд и Сводка'!$C$6, 0)*0.01)</f>
        <v/>
      </c>
      <c r="F263" s="45">
        <f>'Дашборд и Сводка'!$C$7</f>
        <v/>
      </c>
      <c r="G263" s="29">
        <f>E263*F263*'Дашборд и Сводка'!$C$8</f>
        <v/>
      </c>
      <c r="H263" s="29">
        <f>D263+G263</f>
        <v/>
      </c>
    </row>
    <row r="264" ht="20" customHeight="1">
      <c r="A264" s="33" t="inlineStr">
        <is>
          <t>Ноябрь</t>
        </is>
      </c>
      <c r="B264" s="33" t="n">
        <v>219</v>
      </c>
      <c r="C264" s="33" t="n">
        <v>4</v>
      </c>
      <c r="D264" s="34">
        <f>H263</f>
        <v/>
      </c>
      <c r="E264" s="35">
        <f>MIN('Дашборд и Сводка'!$C$9, ROUNDUP(D264/'Дашборд и Сводка'!$C$6, 0)*0.01)</f>
        <v/>
      </c>
      <c r="F264" s="46">
        <f>'Дашборд и Сводка'!$C$7</f>
        <v/>
      </c>
      <c r="G264" s="34">
        <f>E264*F264*'Дашборд и Сводка'!$C$8</f>
        <v/>
      </c>
      <c r="H264" s="34">
        <f>D264+G264</f>
        <v/>
      </c>
    </row>
    <row r="265" ht="20" customHeight="1">
      <c r="A265" s="28" t="inlineStr">
        <is>
          <t>Ноябрь</t>
        </is>
      </c>
      <c r="B265" s="28" t="n">
        <v>220</v>
      </c>
      <c r="C265" s="28" t="n">
        <v>5</v>
      </c>
      <c r="D265" s="29">
        <f>H264</f>
        <v/>
      </c>
      <c r="E265" s="30">
        <f>MIN('Дашборд и Сводка'!$C$9, ROUNDUP(D265/'Дашборд и Сводка'!$C$6, 0)*0.01)</f>
        <v/>
      </c>
      <c r="F265" s="45">
        <f>'Дашборд и Сводка'!$C$7</f>
        <v/>
      </c>
      <c r="G265" s="29">
        <f>E265*F265*'Дашборд и Сводка'!$C$8</f>
        <v/>
      </c>
      <c r="H265" s="29">
        <f>D265+G265</f>
        <v/>
      </c>
    </row>
    <row r="266" ht="20" customHeight="1">
      <c r="A266" s="33" t="inlineStr">
        <is>
          <t>Ноябрь</t>
        </is>
      </c>
      <c r="B266" s="33" t="n">
        <v>221</v>
      </c>
      <c r="C266" s="33" t="n">
        <v>6</v>
      </c>
      <c r="D266" s="34">
        <f>H265</f>
        <v/>
      </c>
      <c r="E266" s="35">
        <f>MIN('Дашборд и Сводка'!$C$9, ROUNDUP(D266/'Дашборд и Сводка'!$C$6, 0)*0.01)</f>
        <v/>
      </c>
      <c r="F266" s="46">
        <f>'Дашборд и Сводка'!$C$7</f>
        <v/>
      </c>
      <c r="G266" s="34">
        <f>E266*F266*'Дашборд и Сводка'!$C$8</f>
        <v/>
      </c>
      <c r="H266" s="34">
        <f>D266+G266</f>
        <v/>
      </c>
    </row>
    <row r="267" ht="20" customHeight="1">
      <c r="A267" s="28" t="inlineStr">
        <is>
          <t>Ноябрь</t>
        </is>
      </c>
      <c r="B267" s="28" t="n">
        <v>222</v>
      </c>
      <c r="C267" s="28" t="n">
        <v>7</v>
      </c>
      <c r="D267" s="29">
        <f>H266</f>
        <v/>
      </c>
      <c r="E267" s="30">
        <f>MIN('Дашборд и Сводка'!$C$9, ROUNDUP(D267/'Дашборд и Сводка'!$C$6, 0)*0.01)</f>
        <v/>
      </c>
      <c r="F267" s="45">
        <f>'Дашборд и Сводка'!$C$7</f>
        <v/>
      </c>
      <c r="G267" s="29">
        <f>E267*F267*'Дашборд и Сводка'!$C$8</f>
        <v/>
      </c>
      <c r="H267" s="29">
        <f>D267+G267</f>
        <v/>
      </c>
    </row>
    <row r="268" ht="20" customHeight="1">
      <c r="A268" s="33" t="inlineStr">
        <is>
          <t>Ноябрь</t>
        </is>
      </c>
      <c r="B268" s="33" t="n">
        <v>223</v>
      </c>
      <c r="C268" s="33" t="n">
        <v>8</v>
      </c>
      <c r="D268" s="34">
        <f>H267</f>
        <v/>
      </c>
      <c r="E268" s="35">
        <f>MIN('Дашборд и Сводка'!$C$9, ROUNDUP(D268/'Дашборд и Сводка'!$C$6, 0)*0.01)</f>
        <v/>
      </c>
      <c r="F268" s="46">
        <f>'Дашборд и Сводка'!$C$7</f>
        <v/>
      </c>
      <c r="G268" s="34">
        <f>E268*F268*'Дашборд и Сводка'!$C$8</f>
        <v/>
      </c>
      <c r="H268" s="34">
        <f>D268+G268</f>
        <v/>
      </c>
    </row>
    <row r="269" ht="20" customHeight="1">
      <c r="A269" s="28" t="inlineStr">
        <is>
          <t>Ноябрь</t>
        </is>
      </c>
      <c r="B269" s="28" t="n">
        <v>224</v>
      </c>
      <c r="C269" s="28" t="n">
        <v>9</v>
      </c>
      <c r="D269" s="29">
        <f>H268</f>
        <v/>
      </c>
      <c r="E269" s="30">
        <f>MIN('Дашборд и Сводка'!$C$9, ROUNDUP(D269/'Дашборд и Сводка'!$C$6, 0)*0.01)</f>
        <v/>
      </c>
      <c r="F269" s="45">
        <f>'Дашборд и Сводка'!$C$7</f>
        <v/>
      </c>
      <c r="G269" s="29">
        <f>E269*F269*'Дашборд и Сводка'!$C$8</f>
        <v/>
      </c>
      <c r="H269" s="29">
        <f>D269+G269</f>
        <v/>
      </c>
    </row>
    <row r="270" ht="20" customHeight="1">
      <c r="A270" s="33" t="inlineStr">
        <is>
          <t>Ноябрь</t>
        </is>
      </c>
      <c r="B270" s="33" t="n">
        <v>225</v>
      </c>
      <c r="C270" s="33" t="n">
        <v>10</v>
      </c>
      <c r="D270" s="34">
        <f>H269</f>
        <v/>
      </c>
      <c r="E270" s="35">
        <f>MIN('Дашборд и Сводка'!$C$9, ROUNDUP(D270/'Дашборд и Сводка'!$C$6, 0)*0.01)</f>
        <v/>
      </c>
      <c r="F270" s="46">
        <f>'Дашборд и Сводка'!$C$7</f>
        <v/>
      </c>
      <c r="G270" s="34">
        <f>E270*F270*'Дашборд и Сводка'!$C$8</f>
        <v/>
      </c>
      <c r="H270" s="34">
        <f>D270+G270</f>
        <v/>
      </c>
    </row>
    <row r="271" ht="20" customHeight="1">
      <c r="A271" s="28" t="inlineStr">
        <is>
          <t>Ноябрь</t>
        </is>
      </c>
      <c r="B271" s="28" t="n">
        <v>226</v>
      </c>
      <c r="C271" s="28" t="n">
        <v>11</v>
      </c>
      <c r="D271" s="29">
        <f>H270</f>
        <v/>
      </c>
      <c r="E271" s="30">
        <f>MIN('Дашборд и Сводка'!$C$9, ROUNDUP(D271/'Дашборд и Сводка'!$C$6, 0)*0.01)</f>
        <v/>
      </c>
      <c r="F271" s="45">
        <f>'Дашборд и Сводка'!$C$7</f>
        <v/>
      </c>
      <c r="G271" s="29">
        <f>E271*F271*'Дашборд и Сводка'!$C$8</f>
        <v/>
      </c>
      <c r="H271" s="29">
        <f>D271+G271</f>
        <v/>
      </c>
    </row>
    <row r="272" ht="20" customHeight="1">
      <c r="A272" s="33" t="inlineStr">
        <is>
          <t>Ноябрь</t>
        </is>
      </c>
      <c r="B272" s="33" t="n">
        <v>227</v>
      </c>
      <c r="C272" s="33" t="n">
        <v>12</v>
      </c>
      <c r="D272" s="34">
        <f>H271</f>
        <v/>
      </c>
      <c r="E272" s="35">
        <f>MIN('Дашборд и Сводка'!$C$9, ROUNDUP(D272/'Дашборд и Сводка'!$C$6, 0)*0.01)</f>
        <v/>
      </c>
      <c r="F272" s="46">
        <f>'Дашборд и Сводка'!$C$7</f>
        <v/>
      </c>
      <c r="G272" s="34">
        <f>E272*F272*'Дашборд и Сводка'!$C$8</f>
        <v/>
      </c>
      <c r="H272" s="34">
        <f>D272+G272</f>
        <v/>
      </c>
    </row>
    <row r="273" ht="20" customHeight="1">
      <c r="A273" s="28" t="inlineStr">
        <is>
          <t>Ноябрь</t>
        </is>
      </c>
      <c r="B273" s="28" t="n">
        <v>228</v>
      </c>
      <c r="C273" s="28" t="n">
        <v>13</v>
      </c>
      <c r="D273" s="29">
        <f>H272</f>
        <v/>
      </c>
      <c r="E273" s="30">
        <f>MIN('Дашборд и Сводка'!$C$9, ROUNDUP(D273/'Дашборд и Сводка'!$C$6, 0)*0.01)</f>
        <v/>
      </c>
      <c r="F273" s="45">
        <f>'Дашборд и Сводка'!$C$7</f>
        <v/>
      </c>
      <c r="G273" s="29">
        <f>E273*F273*'Дашборд и Сводка'!$C$8</f>
        <v/>
      </c>
      <c r="H273" s="29">
        <f>D273+G273</f>
        <v/>
      </c>
    </row>
    <row r="274" ht="20" customHeight="1">
      <c r="A274" s="33" t="inlineStr">
        <is>
          <t>Ноябрь</t>
        </is>
      </c>
      <c r="B274" s="33" t="n">
        <v>229</v>
      </c>
      <c r="C274" s="33" t="n">
        <v>14</v>
      </c>
      <c r="D274" s="34">
        <f>H273</f>
        <v/>
      </c>
      <c r="E274" s="35">
        <f>MIN('Дашборд и Сводка'!$C$9, ROUNDUP(D274/'Дашборд и Сводка'!$C$6, 0)*0.01)</f>
        <v/>
      </c>
      <c r="F274" s="46">
        <f>'Дашборд и Сводка'!$C$7</f>
        <v/>
      </c>
      <c r="G274" s="34">
        <f>E274*F274*'Дашборд и Сводка'!$C$8</f>
        <v/>
      </c>
      <c r="H274" s="34">
        <f>D274+G274</f>
        <v/>
      </c>
    </row>
    <row r="275" ht="20" customHeight="1">
      <c r="A275" s="28" t="inlineStr">
        <is>
          <t>Ноябрь</t>
        </is>
      </c>
      <c r="B275" s="28" t="n">
        <v>230</v>
      </c>
      <c r="C275" s="28" t="n">
        <v>15</v>
      </c>
      <c r="D275" s="29">
        <f>H274</f>
        <v/>
      </c>
      <c r="E275" s="30">
        <f>MIN('Дашборд и Сводка'!$C$9, ROUNDUP(D275/'Дашборд и Сводка'!$C$6, 0)*0.01)</f>
        <v/>
      </c>
      <c r="F275" s="45">
        <f>'Дашборд и Сводка'!$C$7</f>
        <v/>
      </c>
      <c r="G275" s="29">
        <f>E275*F275*'Дашборд и Сводка'!$C$8</f>
        <v/>
      </c>
      <c r="H275" s="29">
        <f>D275+G275</f>
        <v/>
      </c>
    </row>
    <row r="276" ht="20" customHeight="1">
      <c r="A276" s="33" t="inlineStr">
        <is>
          <t>Ноябрь</t>
        </is>
      </c>
      <c r="B276" s="33" t="n">
        <v>231</v>
      </c>
      <c r="C276" s="33" t="n">
        <v>16</v>
      </c>
      <c r="D276" s="34">
        <f>H275</f>
        <v/>
      </c>
      <c r="E276" s="35">
        <f>MIN('Дашборд и Сводка'!$C$9, ROUNDUP(D276/'Дашборд и Сводка'!$C$6, 0)*0.01)</f>
        <v/>
      </c>
      <c r="F276" s="46">
        <f>'Дашборд и Сводка'!$C$7</f>
        <v/>
      </c>
      <c r="G276" s="34">
        <f>E276*F276*'Дашборд и Сводка'!$C$8</f>
        <v/>
      </c>
      <c r="H276" s="34">
        <f>D276+G276</f>
        <v/>
      </c>
    </row>
    <row r="277" ht="20" customHeight="1">
      <c r="A277" s="28" t="inlineStr">
        <is>
          <t>Ноябрь</t>
        </is>
      </c>
      <c r="B277" s="28" t="n">
        <v>232</v>
      </c>
      <c r="C277" s="28" t="n">
        <v>17</v>
      </c>
      <c r="D277" s="29">
        <f>H276</f>
        <v/>
      </c>
      <c r="E277" s="30">
        <f>MIN('Дашборд и Сводка'!$C$9, ROUNDUP(D277/'Дашборд и Сводка'!$C$6, 0)*0.01)</f>
        <v/>
      </c>
      <c r="F277" s="45">
        <f>'Дашборд и Сводка'!$C$7</f>
        <v/>
      </c>
      <c r="G277" s="29">
        <f>E277*F277*'Дашборд и Сводка'!$C$8</f>
        <v/>
      </c>
      <c r="H277" s="29">
        <f>D277+G277</f>
        <v/>
      </c>
    </row>
    <row r="278" ht="20" customHeight="1">
      <c r="A278" s="33" t="inlineStr">
        <is>
          <t>Ноябрь</t>
        </is>
      </c>
      <c r="B278" s="33" t="n">
        <v>233</v>
      </c>
      <c r="C278" s="33" t="n">
        <v>18</v>
      </c>
      <c r="D278" s="34">
        <f>H277</f>
        <v/>
      </c>
      <c r="E278" s="35">
        <f>MIN('Дашборд и Сводка'!$C$9, ROUNDUP(D278/'Дашборд и Сводка'!$C$6, 0)*0.01)</f>
        <v/>
      </c>
      <c r="F278" s="46">
        <f>'Дашборд и Сводка'!$C$7</f>
        <v/>
      </c>
      <c r="G278" s="34">
        <f>E278*F278*'Дашборд и Сводка'!$C$8</f>
        <v/>
      </c>
      <c r="H278" s="34">
        <f>D278+G278</f>
        <v/>
      </c>
    </row>
    <row r="279" ht="20" customHeight="1">
      <c r="A279" s="28" t="inlineStr">
        <is>
          <t>Ноябрь</t>
        </is>
      </c>
      <c r="B279" s="28" t="n">
        <v>234</v>
      </c>
      <c r="C279" s="28" t="n">
        <v>19</v>
      </c>
      <c r="D279" s="29">
        <f>H278</f>
        <v/>
      </c>
      <c r="E279" s="30">
        <f>MIN('Дашборд и Сводка'!$C$9, ROUNDUP(D279/'Дашборд и Сводка'!$C$6, 0)*0.01)</f>
        <v/>
      </c>
      <c r="F279" s="45">
        <f>'Дашборд и Сводка'!$C$7</f>
        <v/>
      </c>
      <c r="G279" s="29">
        <f>E279*F279*'Дашборд и Сводка'!$C$8</f>
        <v/>
      </c>
      <c r="H279" s="29">
        <f>D279+G279</f>
        <v/>
      </c>
    </row>
    <row r="280" ht="20" customHeight="1">
      <c r="A280" s="33" t="inlineStr">
        <is>
          <t>Ноябрь</t>
        </is>
      </c>
      <c r="B280" s="33" t="n">
        <v>235</v>
      </c>
      <c r="C280" s="33" t="n">
        <v>20</v>
      </c>
      <c r="D280" s="34">
        <f>H279</f>
        <v/>
      </c>
      <c r="E280" s="35">
        <f>MIN('Дашборд и Сводка'!$C$9, ROUNDUP(D280/'Дашборд и Сводка'!$C$6, 0)*0.01)</f>
        <v/>
      </c>
      <c r="F280" s="46">
        <f>'Дашборд и Сводка'!$C$7</f>
        <v/>
      </c>
      <c r="G280" s="34">
        <f>E280*F280*'Дашборд и Сводка'!$C$8</f>
        <v/>
      </c>
      <c r="H280" s="34">
        <f>D280+G280</f>
        <v/>
      </c>
    </row>
    <row r="281" ht="20" customHeight="1">
      <c r="A281" s="28" t="inlineStr">
        <is>
          <t>Ноябрь</t>
        </is>
      </c>
      <c r="B281" s="28" t="n">
        <v>236</v>
      </c>
      <c r="C281" s="28" t="n">
        <v>21</v>
      </c>
      <c r="D281" s="29">
        <f>H280</f>
        <v/>
      </c>
      <c r="E281" s="30">
        <f>MIN('Дашборд и Сводка'!$C$9, ROUNDUP(D281/'Дашборд и Сводка'!$C$6, 0)*0.01)</f>
        <v/>
      </c>
      <c r="F281" s="45">
        <f>'Дашборд и Сводка'!$C$7</f>
        <v/>
      </c>
      <c r="G281" s="29">
        <f>E281*F281*'Дашборд и Сводка'!$C$8</f>
        <v/>
      </c>
      <c r="H281" s="29">
        <f>D281+G281</f>
        <v/>
      </c>
    </row>
    <row r="282" ht="24" customHeight="1">
      <c r="A282" s="47" t="inlineStr">
        <is>
          <t>ИТОГО ЗА НОЯБРЬ:</t>
        </is>
      </c>
      <c r="B282" s="48" t="n"/>
      <c r="C282" s="48" t="n"/>
      <c r="D282" s="49">
        <f>D261</f>
        <v/>
      </c>
      <c r="E282" s="50">
        <f>MAX(E261:E281)</f>
        <v/>
      </c>
      <c r="F282" s="51">
        <f>'Дашборд и Сводка'!$C$7</f>
        <v/>
      </c>
      <c r="G282" s="52">
        <f>SUM(G261:G281)</f>
        <v/>
      </c>
      <c r="H282" s="53">
        <f>H281</f>
        <v/>
      </c>
    </row>
    <row r="284" ht="26" customHeight="1">
      <c r="A284" s="43" t="inlineStr">
        <is>
          <t>МЕСЯЦ 12: ДЕКАБРЬ (22 торговых дней)</t>
        </is>
      </c>
    </row>
    <row r="285" ht="24" customHeight="1">
      <c r="A285" s="44" t="inlineStr">
        <is>
          <t>Месяц</t>
        </is>
      </c>
      <c r="B285" s="44" t="inlineStr">
        <is>
          <t>День года</t>
        </is>
      </c>
      <c r="C285" s="44" t="inlineStr">
        <is>
          <t>День месяца</t>
        </is>
      </c>
      <c r="D285" s="44" t="inlineStr">
        <is>
          <t>Начальный депозит ($)</t>
        </is>
      </c>
      <c r="E285" s="44" t="inlineStr">
        <is>
          <t>Размер лота</t>
        </is>
      </c>
      <c r="F285" s="44" t="inlineStr">
        <is>
          <t>Цель (пунктов)</t>
        </is>
      </c>
      <c r="G285" s="44" t="inlineStr">
        <is>
          <t>Прибыль за день ($)</t>
        </is>
      </c>
      <c r="H285" s="44" t="inlineStr">
        <is>
          <t>Итоговый баланс ($)</t>
        </is>
      </c>
    </row>
    <row r="286" ht="20" customHeight="1">
      <c r="A286" s="28" t="inlineStr">
        <is>
          <t>Декабрь</t>
        </is>
      </c>
      <c r="B286" s="28" t="n">
        <v>237</v>
      </c>
      <c r="C286" s="28" t="n">
        <v>1</v>
      </c>
      <c r="D286" s="29">
        <f>H281</f>
        <v/>
      </c>
      <c r="E286" s="30">
        <f>MIN('Дашборд и Сводка'!$C$9, ROUNDUP(D286/'Дашборд и Сводка'!$C$6, 0)*0.01)</f>
        <v/>
      </c>
      <c r="F286" s="45">
        <f>'Дашборд и Сводка'!$C$7</f>
        <v/>
      </c>
      <c r="G286" s="29">
        <f>E286*F286*'Дашборд и Сводка'!$C$8</f>
        <v/>
      </c>
      <c r="H286" s="29">
        <f>D286+G286</f>
        <v/>
      </c>
    </row>
    <row r="287" ht="20" customHeight="1">
      <c r="A287" s="33" t="inlineStr">
        <is>
          <t>Декабрь</t>
        </is>
      </c>
      <c r="B287" s="33" t="n">
        <v>238</v>
      </c>
      <c r="C287" s="33" t="n">
        <v>2</v>
      </c>
      <c r="D287" s="34">
        <f>H286</f>
        <v/>
      </c>
      <c r="E287" s="35">
        <f>MIN('Дашборд и Сводка'!$C$9, ROUNDUP(D287/'Дашборд и Сводка'!$C$6, 0)*0.01)</f>
        <v/>
      </c>
      <c r="F287" s="46">
        <f>'Дашборд и Сводка'!$C$7</f>
        <v/>
      </c>
      <c r="G287" s="34">
        <f>E287*F287*'Дашборд и Сводка'!$C$8</f>
        <v/>
      </c>
      <c r="H287" s="34">
        <f>D287+G287</f>
        <v/>
      </c>
    </row>
    <row r="288" ht="20" customHeight="1">
      <c r="A288" s="28" t="inlineStr">
        <is>
          <t>Декабрь</t>
        </is>
      </c>
      <c r="B288" s="28" t="n">
        <v>239</v>
      </c>
      <c r="C288" s="28" t="n">
        <v>3</v>
      </c>
      <c r="D288" s="29">
        <f>H287</f>
        <v/>
      </c>
      <c r="E288" s="30">
        <f>MIN('Дашборд и Сводка'!$C$9, ROUNDUP(D288/'Дашборд и Сводка'!$C$6, 0)*0.01)</f>
        <v/>
      </c>
      <c r="F288" s="45">
        <f>'Дашборд и Сводка'!$C$7</f>
        <v/>
      </c>
      <c r="G288" s="29">
        <f>E288*F288*'Дашборд и Сводка'!$C$8</f>
        <v/>
      </c>
      <c r="H288" s="29">
        <f>D288+G288</f>
        <v/>
      </c>
    </row>
    <row r="289" ht="20" customHeight="1">
      <c r="A289" s="33" t="inlineStr">
        <is>
          <t>Декабрь</t>
        </is>
      </c>
      <c r="B289" s="33" t="n">
        <v>240</v>
      </c>
      <c r="C289" s="33" t="n">
        <v>4</v>
      </c>
      <c r="D289" s="34">
        <f>H288</f>
        <v/>
      </c>
      <c r="E289" s="35">
        <f>MIN('Дашборд и Сводка'!$C$9, ROUNDUP(D289/'Дашборд и Сводка'!$C$6, 0)*0.01)</f>
        <v/>
      </c>
      <c r="F289" s="46">
        <f>'Дашборд и Сводка'!$C$7</f>
        <v/>
      </c>
      <c r="G289" s="34">
        <f>E289*F289*'Дашборд и Сводка'!$C$8</f>
        <v/>
      </c>
      <c r="H289" s="34">
        <f>D289+G289</f>
        <v/>
      </c>
    </row>
    <row r="290" ht="20" customHeight="1">
      <c r="A290" s="28" t="inlineStr">
        <is>
          <t>Декабрь</t>
        </is>
      </c>
      <c r="B290" s="28" t="n">
        <v>241</v>
      </c>
      <c r="C290" s="28" t="n">
        <v>5</v>
      </c>
      <c r="D290" s="29">
        <f>H289</f>
        <v/>
      </c>
      <c r="E290" s="30">
        <f>MIN('Дашборд и Сводка'!$C$9, ROUNDUP(D290/'Дашборд и Сводка'!$C$6, 0)*0.01)</f>
        <v/>
      </c>
      <c r="F290" s="45">
        <f>'Дашборд и Сводка'!$C$7</f>
        <v/>
      </c>
      <c r="G290" s="29">
        <f>E290*F290*'Дашборд и Сводка'!$C$8</f>
        <v/>
      </c>
      <c r="H290" s="29">
        <f>D290+G290</f>
        <v/>
      </c>
    </row>
    <row r="291" ht="20" customHeight="1">
      <c r="A291" s="33" t="inlineStr">
        <is>
          <t>Декабрь</t>
        </is>
      </c>
      <c r="B291" s="33" t="n">
        <v>242</v>
      </c>
      <c r="C291" s="33" t="n">
        <v>6</v>
      </c>
      <c r="D291" s="34">
        <f>H290</f>
        <v/>
      </c>
      <c r="E291" s="35">
        <f>MIN('Дашборд и Сводка'!$C$9, ROUNDUP(D291/'Дашборд и Сводка'!$C$6, 0)*0.01)</f>
        <v/>
      </c>
      <c r="F291" s="46">
        <f>'Дашборд и Сводка'!$C$7</f>
        <v/>
      </c>
      <c r="G291" s="34">
        <f>E291*F291*'Дашборд и Сводка'!$C$8</f>
        <v/>
      </c>
      <c r="H291" s="34">
        <f>D291+G291</f>
        <v/>
      </c>
    </row>
    <row r="292" ht="20" customHeight="1">
      <c r="A292" s="28" t="inlineStr">
        <is>
          <t>Декабрь</t>
        </is>
      </c>
      <c r="B292" s="28" t="n">
        <v>243</v>
      </c>
      <c r="C292" s="28" t="n">
        <v>7</v>
      </c>
      <c r="D292" s="29">
        <f>H291</f>
        <v/>
      </c>
      <c r="E292" s="30">
        <f>MIN('Дашборд и Сводка'!$C$9, ROUNDUP(D292/'Дашборд и Сводка'!$C$6, 0)*0.01)</f>
        <v/>
      </c>
      <c r="F292" s="45">
        <f>'Дашборд и Сводка'!$C$7</f>
        <v/>
      </c>
      <c r="G292" s="29">
        <f>E292*F292*'Дашборд и Сводка'!$C$8</f>
        <v/>
      </c>
      <c r="H292" s="29">
        <f>D292+G292</f>
        <v/>
      </c>
    </row>
    <row r="293" ht="20" customHeight="1">
      <c r="A293" s="33" t="inlineStr">
        <is>
          <t>Декабрь</t>
        </is>
      </c>
      <c r="B293" s="33" t="n">
        <v>244</v>
      </c>
      <c r="C293" s="33" t="n">
        <v>8</v>
      </c>
      <c r="D293" s="34">
        <f>H292</f>
        <v/>
      </c>
      <c r="E293" s="35">
        <f>MIN('Дашборд и Сводка'!$C$9, ROUNDUP(D293/'Дашборд и Сводка'!$C$6, 0)*0.01)</f>
        <v/>
      </c>
      <c r="F293" s="46">
        <f>'Дашборд и Сводка'!$C$7</f>
        <v/>
      </c>
      <c r="G293" s="34">
        <f>E293*F293*'Дашборд и Сводка'!$C$8</f>
        <v/>
      </c>
      <c r="H293" s="34">
        <f>D293+G293</f>
        <v/>
      </c>
    </row>
    <row r="294" ht="20" customHeight="1">
      <c r="A294" s="28" t="inlineStr">
        <is>
          <t>Декабрь</t>
        </is>
      </c>
      <c r="B294" s="28" t="n">
        <v>245</v>
      </c>
      <c r="C294" s="28" t="n">
        <v>9</v>
      </c>
      <c r="D294" s="29">
        <f>H293</f>
        <v/>
      </c>
      <c r="E294" s="30">
        <f>MIN('Дашборд и Сводка'!$C$9, ROUNDUP(D294/'Дашборд и Сводка'!$C$6, 0)*0.01)</f>
        <v/>
      </c>
      <c r="F294" s="45">
        <f>'Дашборд и Сводка'!$C$7</f>
        <v/>
      </c>
      <c r="G294" s="29">
        <f>E294*F294*'Дашборд и Сводка'!$C$8</f>
        <v/>
      </c>
      <c r="H294" s="29">
        <f>D294+G294</f>
        <v/>
      </c>
    </row>
    <row r="295" ht="20" customHeight="1">
      <c r="A295" s="33" t="inlineStr">
        <is>
          <t>Декабрь</t>
        </is>
      </c>
      <c r="B295" s="33" t="n">
        <v>246</v>
      </c>
      <c r="C295" s="33" t="n">
        <v>10</v>
      </c>
      <c r="D295" s="34">
        <f>H294</f>
        <v/>
      </c>
      <c r="E295" s="35">
        <f>MIN('Дашборд и Сводка'!$C$9, ROUNDUP(D295/'Дашборд и Сводка'!$C$6, 0)*0.01)</f>
        <v/>
      </c>
      <c r="F295" s="46">
        <f>'Дашборд и Сводка'!$C$7</f>
        <v/>
      </c>
      <c r="G295" s="34">
        <f>E295*F295*'Дашборд и Сводка'!$C$8</f>
        <v/>
      </c>
      <c r="H295" s="34">
        <f>D295+G295</f>
        <v/>
      </c>
    </row>
    <row r="296" ht="20" customHeight="1">
      <c r="A296" s="28" t="inlineStr">
        <is>
          <t>Декабрь</t>
        </is>
      </c>
      <c r="B296" s="28" t="n">
        <v>247</v>
      </c>
      <c r="C296" s="28" t="n">
        <v>11</v>
      </c>
      <c r="D296" s="29">
        <f>H295</f>
        <v/>
      </c>
      <c r="E296" s="30">
        <f>MIN('Дашборд и Сводка'!$C$9, ROUNDUP(D296/'Дашборд и Сводка'!$C$6, 0)*0.01)</f>
        <v/>
      </c>
      <c r="F296" s="45">
        <f>'Дашборд и Сводка'!$C$7</f>
        <v/>
      </c>
      <c r="G296" s="29">
        <f>E296*F296*'Дашборд и Сводка'!$C$8</f>
        <v/>
      </c>
      <c r="H296" s="29">
        <f>D296+G296</f>
        <v/>
      </c>
    </row>
    <row r="297" ht="20" customHeight="1">
      <c r="A297" s="33" t="inlineStr">
        <is>
          <t>Декабрь</t>
        </is>
      </c>
      <c r="B297" s="33" t="n">
        <v>248</v>
      </c>
      <c r="C297" s="33" t="n">
        <v>12</v>
      </c>
      <c r="D297" s="34">
        <f>H296</f>
        <v/>
      </c>
      <c r="E297" s="35">
        <f>MIN('Дашборд и Сводка'!$C$9, ROUNDUP(D297/'Дашборд и Сводка'!$C$6, 0)*0.01)</f>
        <v/>
      </c>
      <c r="F297" s="46">
        <f>'Дашборд и Сводка'!$C$7</f>
        <v/>
      </c>
      <c r="G297" s="34">
        <f>E297*F297*'Дашборд и Сводка'!$C$8</f>
        <v/>
      </c>
      <c r="H297" s="34">
        <f>D297+G297</f>
        <v/>
      </c>
    </row>
    <row r="298" ht="20" customHeight="1">
      <c r="A298" s="28" t="inlineStr">
        <is>
          <t>Декабрь</t>
        </is>
      </c>
      <c r="B298" s="28" t="n">
        <v>249</v>
      </c>
      <c r="C298" s="28" t="n">
        <v>13</v>
      </c>
      <c r="D298" s="29">
        <f>H297</f>
        <v/>
      </c>
      <c r="E298" s="30">
        <f>MIN('Дашборд и Сводка'!$C$9, ROUNDUP(D298/'Дашборд и Сводка'!$C$6, 0)*0.01)</f>
        <v/>
      </c>
      <c r="F298" s="45">
        <f>'Дашборд и Сводка'!$C$7</f>
        <v/>
      </c>
      <c r="G298" s="29">
        <f>E298*F298*'Дашборд и Сводка'!$C$8</f>
        <v/>
      </c>
      <c r="H298" s="29">
        <f>D298+G298</f>
        <v/>
      </c>
    </row>
    <row r="299" ht="20" customHeight="1">
      <c r="A299" s="33" t="inlineStr">
        <is>
          <t>Декабрь</t>
        </is>
      </c>
      <c r="B299" s="33" t="n">
        <v>250</v>
      </c>
      <c r="C299" s="33" t="n">
        <v>14</v>
      </c>
      <c r="D299" s="34">
        <f>H298</f>
        <v/>
      </c>
      <c r="E299" s="35">
        <f>MIN('Дашборд и Сводка'!$C$9, ROUNDUP(D299/'Дашборд и Сводка'!$C$6, 0)*0.01)</f>
        <v/>
      </c>
      <c r="F299" s="46">
        <f>'Дашборд и Сводка'!$C$7</f>
        <v/>
      </c>
      <c r="G299" s="34">
        <f>E299*F299*'Дашборд и Сводка'!$C$8</f>
        <v/>
      </c>
      <c r="H299" s="34">
        <f>D299+G299</f>
        <v/>
      </c>
    </row>
    <row r="300" ht="20" customHeight="1">
      <c r="A300" s="28" t="inlineStr">
        <is>
          <t>Декабрь</t>
        </is>
      </c>
      <c r="B300" s="28" t="n">
        <v>251</v>
      </c>
      <c r="C300" s="28" t="n">
        <v>15</v>
      </c>
      <c r="D300" s="29">
        <f>H299</f>
        <v/>
      </c>
      <c r="E300" s="30">
        <f>MIN('Дашборд и Сводка'!$C$9, ROUNDUP(D300/'Дашборд и Сводка'!$C$6, 0)*0.01)</f>
        <v/>
      </c>
      <c r="F300" s="45">
        <f>'Дашборд и Сводка'!$C$7</f>
        <v/>
      </c>
      <c r="G300" s="29">
        <f>E300*F300*'Дашборд и Сводка'!$C$8</f>
        <v/>
      </c>
      <c r="H300" s="29">
        <f>D300+G300</f>
        <v/>
      </c>
    </row>
    <row r="301" ht="20" customHeight="1">
      <c r="A301" s="33" t="inlineStr">
        <is>
          <t>Декабрь</t>
        </is>
      </c>
      <c r="B301" s="33" t="n">
        <v>252</v>
      </c>
      <c r="C301" s="33" t="n">
        <v>16</v>
      </c>
      <c r="D301" s="34">
        <f>H300</f>
        <v/>
      </c>
      <c r="E301" s="35">
        <f>MIN('Дашборд и Сводка'!$C$9, ROUNDUP(D301/'Дашборд и Сводка'!$C$6, 0)*0.01)</f>
        <v/>
      </c>
      <c r="F301" s="46">
        <f>'Дашборд и Сводка'!$C$7</f>
        <v/>
      </c>
      <c r="G301" s="34">
        <f>E301*F301*'Дашборд и Сводка'!$C$8</f>
        <v/>
      </c>
      <c r="H301" s="34">
        <f>D301+G301</f>
        <v/>
      </c>
    </row>
    <row r="302" ht="20" customHeight="1">
      <c r="A302" s="28" t="inlineStr">
        <is>
          <t>Декабрь</t>
        </is>
      </c>
      <c r="B302" s="28" t="n">
        <v>253</v>
      </c>
      <c r="C302" s="28" t="n">
        <v>17</v>
      </c>
      <c r="D302" s="29">
        <f>H301</f>
        <v/>
      </c>
      <c r="E302" s="30">
        <f>MIN('Дашборд и Сводка'!$C$9, ROUNDUP(D302/'Дашборд и Сводка'!$C$6, 0)*0.01)</f>
        <v/>
      </c>
      <c r="F302" s="45">
        <f>'Дашборд и Сводка'!$C$7</f>
        <v/>
      </c>
      <c r="G302" s="29">
        <f>E302*F302*'Дашборд и Сводка'!$C$8</f>
        <v/>
      </c>
      <c r="H302" s="29">
        <f>D302+G302</f>
        <v/>
      </c>
    </row>
    <row r="303" ht="20" customHeight="1">
      <c r="A303" s="33" t="inlineStr">
        <is>
          <t>Декабрь</t>
        </is>
      </c>
      <c r="B303" s="33" t="n">
        <v>254</v>
      </c>
      <c r="C303" s="33" t="n">
        <v>18</v>
      </c>
      <c r="D303" s="34">
        <f>H302</f>
        <v/>
      </c>
      <c r="E303" s="35">
        <f>MIN('Дашборд и Сводка'!$C$9, ROUNDUP(D303/'Дашборд и Сводка'!$C$6, 0)*0.01)</f>
        <v/>
      </c>
      <c r="F303" s="46">
        <f>'Дашборд и Сводка'!$C$7</f>
        <v/>
      </c>
      <c r="G303" s="34">
        <f>E303*F303*'Дашборд и Сводка'!$C$8</f>
        <v/>
      </c>
      <c r="H303" s="34">
        <f>D303+G303</f>
        <v/>
      </c>
    </row>
    <row r="304" ht="20" customHeight="1">
      <c r="A304" s="28" t="inlineStr">
        <is>
          <t>Декабрь</t>
        </is>
      </c>
      <c r="B304" s="28" t="n">
        <v>255</v>
      </c>
      <c r="C304" s="28" t="n">
        <v>19</v>
      </c>
      <c r="D304" s="29">
        <f>H303</f>
        <v/>
      </c>
      <c r="E304" s="30">
        <f>MIN('Дашборд и Сводка'!$C$9, ROUNDUP(D304/'Дашборд и Сводка'!$C$6, 0)*0.01)</f>
        <v/>
      </c>
      <c r="F304" s="45">
        <f>'Дашборд и Сводка'!$C$7</f>
        <v/>
      </c>
      <c r="G304" s="29">
        <f>E304*F304*'Дашборд и Сводка'!$C$8</f>
        <v/>
      </c>
      <c r="H304" s="29">
        <f>D304+G304</f>
        <v/>
      </c>
    </row>
    <row r="305" ht="20" customHeight="1">
      <c r="A305" s="33" t="inlineStr">
        <is>
          <t>Декабрь</t>
        </is>
      </c>
      <c r="B305" s="33" t="n">
        <v>256</v>
      </c>
      <c r="C305" s="33" t="n">
        <v>20</v>
      </c>
      <c r="D305" s="34">
        <f>H304</f>
        <v/>
      </c>
      <c r="E305" s="35">
        <f>MIN('Дашборд и Сводка'!$C$9, ROUNDUP(D305/'Дашборд и Сводка'!$C$6, 0)*0.01)</f>
        <v/>
      </c>
      <c r="F305" s="46">
        <f>'Дашборд и Сводка'!$C$7</f>
        <v/>
      </c>
      <c r="G305" s="34">
        <f>E305*F305*'Дашборд и Сводка'!$C$8</f>
        <v/>
      </c>
      <c r="H305" s="34">
        <f>D305+G305</f>
        <v/>
      </c>
    </row>
    <row r="306" ht="20" customHeight="1">
      <c r="A306" s="28" t="inlineStr">
        <is>
          <t>Декабрь</t>
        </is>
      </c>
      <c r="B306" s="28" t="n">
        <v>257</v>
      </c>
      <c r="C306" s="28" t="n">
        <v>21</v>
      </c>
      <c r="D306" s="29">
        <f>H305</f>
        <v/>
      </c>
      <c r="E306" s="30">
        <f>MIN('Дашборд и Сводка'!$C$9, ROUNDUP(D306/'Дашборд и Сводка'!$C$6, 0)*0.01)</f>
        <v/>
      </c>
      <c r="F306" s="45">
        <f>'Дашборд и Сводка'!$C$7</f>
        <v/>
      </c>
      <c r="G306" s="29">
        <f>E306*F306*'Дашборд и Сводка'!$C$8</f>
        <v/>
      </c>
      <c r="H306" s="29">
        <f>D306+G306</f>
        <v/>
      </c>
    </row>
    <row r="307" ht="20" customHeight="1">
      <c r="A307" s="33" t="inlineStr">
        <is>
          <t>Декабрь</t>
        </is>
      </c>
      <c r="B307" s="33" t="n">
        <v>258</v>
      </c>
      <c r="C307" s="33" t="n">
        <v>22</v>
      </c>
      <c r="D307" s="34">
        <f>H306</f>
        <v/>
      </c>
      <c r="E307" s="35">
        <f>MIN('Дашборд и Сводка'!$C$9, ROUNDUP(D307/'Дашборд и Сводка'!$C$6, 0)*0.01)</f>
        <v/>
      </c>
      <c r="F307" s="46">
        <f>'Дашборд и Сводка'!$C$7</f>
        <v/>
      </c>
      <c r="G307" s="34">
        <f>E307*F307*'Дашборд и Сводка'!$C$8</f>
        <v/>
      </c>
      <c r="H307" s="34">
        <f>D307+G307</f>
        <v/>
      </c>
    </row>
    <row r="308" ht="24" customHeight="1">
      <c r="A308" s="47" t="inlineStr">
        <is>
          <t>ИТОГО ЗА ДЕКАБРЬ:</t>
        </is>
      </c>
      <c r="B308" s="48" t="n"/>
      <c r="C308" s="48" t="n"/>
      <c r="D308" s="49">
        <f>D286</f>
        <v/>
      </c>
      <c r="E308" s="50">
        <f>MAX(E286:E307)</f>
        <v/>
      </c>
      <c r="F308" s="51">
        <f>'Дашборд и Сводка'!$C$7</f>
        <v/>
      </c>
      <c r="G308" s="52">
        <f>SUM(G286:G307)</f>
        <v/>
      </c>
      <c r="H308" s="53">
        <f>H307</f>
        <v/>
      </c>
    </row>
  </sheetData>
  <mergeCells count="26">
    <mergeCell ref="A30:H30"/>
    <mergeCell ref="A182:H182"/>
    <mergeCell ref="A282:C282"/>
    <mergeCell ref="A284:H284"/>
    <mergeCell ref="A154:C154"/>
    <mergeCell ref="A1:H1"/>
    <mergeCell ref="A129:C129"/>
    <mergeCell ref="A54:H54"/>
    <mergeCell ref="A206:C206"/>
    <mergeCell ref="A80:H80"/>
    <mergeCell ref="A208:H208"/>
    <mergeCell ref="A180:C180"/>
    <mergeCell ref="A231:C231"/>
    <mergeCell ref="A233:H233"/>
    <mergeCell ref="A52:C52"/>
    <mergeCell ref="A28:C28"/>
    <mergeCell ref="A308:C308"/>
    <mergeCell ref="A105:H105"/>
    <mergeCell ref="A2:H2"/>
    <mergeCell ref="A257:C257"/>
    <mergeCell ref="A131:H131"/>
    <mergeCell ref="A4:H4"/>
    <mergeCell ref="A259:H259"/>
    <mergeCell ref="A103:C103"/>
    <mergeCell ref="A156:H156"/>
    <mergeCell ref="A78:C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2" customWidth="1" min="4" max="4"/>
    <col width="16" customWidth="1" min="5" max="5"/>
    <col width="16" customWidth="1" min="6" max="6"/>
    <col width="22" customWidth="1" min="7" max="7"/>
    <col width="22" customWidth="1" min="8" max="8"/>
  </cols>
  <sheetData>
    <row r="1" ht="36" customHeight="1">
      <c r="A1" s="54" t="inlineStr">
        <is>
          <t>ТОРГОВЫЙ ПЛАН НА 1 ГОД: КРИПТОВАЛЮТА (24/7 БЕЗ ВЫХОДНЫХ / 365 ДНЕЙ)</t>
        </is>
      </c>
    </row>
    <row r="2" ht="22" customHeight="1">
      <c r="A2" s="2" t="inlineStr">
        <is>
          <t>Расчёт сложного процента при непрерывной торговле 7 дней в неделю (Max Lot = 100)</t>
        </is>
      </c>
    </row>
    <row r="4" ht="26" customHeight="1">
      <c r="A4" s="55" t="inlineStr">
        <is>
          <t>МЕСЯЦ 1: ЯНВАРЬ (31 торговых дней)</t>
        </is>
      </c>
    </row>
    <row r="5" ht="24" customHeight="1">
      <c r="A5" s="44" t="inlineStr">
        <is>
          <t>Месяц</t>
        </is>
      </c>
      <c r="B5" s="44" t="inlineStr">
        <is>
          <t>День года</t>
        </is>
      </c>
      <c r="C5" s="44" t="inlineStr">
        <is>
          <t>День месяца</t>
        </is>
      </c>
      <c r="D5" s="44" t="inlineStr">
        <is>
          <t>Начальный депозит ($)</t>
        </is>
      </c>
      <c r="E5" s="44" t="inlineStr">
        <is>
          <t>Размер лота</t>
        </is>
      </c>
      <c r="F5" s="44" t="inlineStr">
        <is>
          <t>Цель (пунктов)</t>
        </is>
      </c>
      <c r="G5" s="44" t="inlineStr">
        <is>
          <t>Прибыль за день ($)</t>
        </is>
      </c>
      <c r="H5" s="44" t="inlineStr">
        <is>
          <t>Итоговый баланс ($)</t>
        </is>
      </c>
    </row>
    <row r="6" ht="20" customHeight="1">
      <c r="A6" s="28" t="inlineStr">
        <is>
          <t>Январь</t>
        </is>
      </c>
      <c r="B6" s="28" t="n">
        <v>1</v>
      </c>
      <c r="C6" s="28" t="n">
        <v>1</v>
      </c>
      <c r="D6" s="29">
        <f>'Дашборд и Сводка'!$C$5</f>
        <v/>
      </c>
      <c r="E6" s="30">
        <f>MIN('Дашборд и Сводка'!$C$9, ROUNDUP(D6/'Дашборд и Сводка'!$C$6, 0)*0.01)</f>
        <v/>
      </c>
      <c r="F6" s="45">
        <f>'Дашборд и Сводка'!$C$7</f>
        <v/>
      </c>
      <c r="G6" s="29">
        <f>E6*F6*'Дашборд и Сводка'!$C$8</f>
        <v/>
      </c>
      <c r="H6" s="29">
        <f>D6+G6</f>
        <v/>
      </c>
    </row>
    <row r="7" ht="20" customHeight="1">
      <c r="A7" s="33" t="inlineStr">
        <is>
          <t>Январь</t>
        </is>
      </c>
      <c r="B7" s="33" t="n">
        <v>2</v>
      </c>
      <c r="C7" s="33" t="n">
        <v>2</v>
      </c>
      <c r="D7" s="34">
        <f>H6</f>
        <v/>
      </c>
      <c r="E7" s="35">
        <f>MIN('Дашборд и Сводка'!$C$9, ROUNDUP(D7/'Дашборд и Сводка'!$C$6, 0)*0.01)</f>
        <v/>
      </c>
      <c r="F7" s="46">
        <f>'Дашборд и Сводка'!$C$7</f>
        <v/>
      </c>
      <c r="G7" s="34">
        <f>E7*F7*'Дашборд и Сводка'!$C$8</f>
        <v/>
      </c>
      <c r="H7" s="34">
        <f>D7+G7</f>
        <v/>
      </c>
    </row>
    <row r="8" ht="20" customHeight="1">
      <c r="A8" s="28" t="inlineStr">
        <is>
          <t>Январь</t>
        </is>
      </c>
      <c r="B8" s="28" t="n">
        <v>3</v>
      </c>
      <c r="C8" s="28" t="n">
        <v>3</v>
      </c>
      <c r="D8" s="29">
        <f>H7</f>
        <v/>
      </c>
      <c r="E8" s="30">
        <f>MIN('Дашборд и Сводка'!$C$9, ROUNDUP(D8/'Дашборд и Сводка'!$C$6, 0)*0.01)</f>
        <v/>
      </c>
      <c r="F8" s="45">
        <f>'Дашборд и Сводка'!$C$7</f>
        <v/>
      </c>
      <c r="G8" s="29">
        <f>E8*F8*'Дашборд и Сводка'!$C$8</f>
        <v/>
      </c>
      <c r="H8" s="29">
        <f>D8+G8</f>
        <v/>
      </c>
    </row>
    <row r="9" ht="20" customHeight="1">
      <c r="A9" s="33" t="inlineStr">
        <is>
          <t>Январь</t>
        </is>
      </c>
      <c r="B9" s="33" t="n">
        <v>4</v>
      </c>
      <c r="C9" s="33" t="n">
        <v>4</v>
      </c>
      <c r="D9" s="34">
        <f>H8</f>
        <v/>
      </c>
      <c r="E9" s="35">
        <f>MIN('Дашборд и Сводка'!$C$9, ROUNDUP(D9/'Дашборд и Сводка'!$C$6, 0)*0.01)</f>
        <v/>
      </c>
      <c r="F9" s="46">
        <f>'Дашборд и Сводка'!$C$7</f>
        <v/>
      </c>
      <c r="G9" s="34">
        <f>E9*F9*'Дашборд и Сводка'!$C$8</f>
        <v/>
      </c>
      <c r="H9" s="34">
        <f>D9+G9</f>
        <v/>
      </c>
    </row>
    <row r="10" ht="20" customHeight="1">
      <c r="A10" s="28" t="inlineStr">
        <is>
          <t>Январь</t>
        </is>
      </c>
      <c r="B10" s="28" t="n">
        <v>5</v>
      </c>
      <c r="C10" s="28" t="n">
        <v>5</v>
      </c>
      <c r="D10" s="29">
        <f>H9</f>
        <v/>
      </c>
      <c r="E10" s="30">
        <f>MIN('Дашборд и Сводка'!$C$9, ROUNDUP(D10/'Дашборд и Сводка'!$C$6, 0)*0.01)</f>
        <v/>
      </c>
      <c r="F10" s="45">
        <f>'Дашборд и Сводка'!$C$7</f>
        <v/>
      </c>
      <c r="G10" s="29">
        <f>E10*F10*'Дашборд и Сводка'!$C$8</f>
        <v/>
      </c>
      <c r="H10" s="29">
        <f>D10+G10</f>
        <v/>
      </c>
    </row>
    <row r="11" ht="20" customHeight="1">
      <c r="A11" s="33" t="inlineStr">
        <is>
          <t>Январь</t>
        </is>
      </c>
      <c r="B11" s="33" t="n">
        <v>6</v>
      </c>
      <c r="C11" s="33" t="n">
        <v>6</v>
      </c>
      <c r="D11" s="34">
        <f>H10</f>
        <v/>
      </c>
      <c r="E11" s="35">
        <f>MIN('Дашборд и Сводка'!$C$9, ROUNDUP(D11/'Дашборд и Сводка'!$C$6, 0)*0.01)</f>
        <v/>
      </c>
      <c r="F11" s="46">
        <f>'Дашборд и Сводка'!$C$7</f>
        <v/>
      </c>
      <c r="G11" s="34">
        <f>E11*F11*'Дашборд и Сводка'!$C$8</f>
        <v/>
      </c>
      <c r="H11" s="34">
        <f>D11+G11</f>
        <v/>
      </c>
    </row>
    <row r="12" ht="20" customHeight="1">
      <c r="A12" s="28" t="inlineStr">
        <is>
          <t>Январь</t>
        </is>
      </c>
      <c r="B12" s="28" t="n">
        <v>7</v>
      </c>
      <c r="C12" s="28" t="n">
        <v>7</v>
      </c>
      <c r="D12" s="29">
        <f>H11</f>
        <v/>
      </c>
      <c r="E12" s="30">
        <f>MIN('Дашборд и Сводка'!$C$9, ROUNDUP(D12/'Дашборд и Сводка'!$C$6, 0)*0.01)</f>
        <v/>
      </c>
      <c r="F12" s="45">
        <f>'Дашборд и Сводка'!$C$7</f>
        <v/>
      </c>
      <c r="G12" s="29">
        <f>E12*F12*'Дашборд и Сводка'!$C$8</f>
        <v/>
      </c>
      <c r="H12" s="29">
        <f>D12+G12</f>
        <v/>
      </c>
    </row>
    <row r="13" ht="20" customHeight="1">
      <c r="A13" s="33" t="inlineStr">
        <is>
          <t>Январь</t>
        </is>
      </c>
      <c r="B13" s="33" t="n">
        <v>8</v>
      </c>
      <c r="C13" s="33" t="n">
        <v>8</v>
      </c>
      <c r="D13" s="34">
        <f>H12</f>
        <v/>
      </c>
      <c r="E13" s="35">
        <f>MIN('Дашборд и Сводка'!$C$9, ROUNDUP(D13/'Дашборд и Сводка'!$C$6, 0)*0.01)</f>
        <v/>
      </c>
      <c r="F13" s="46">
        <f>'Дашборд и Сводка'!$C$7</f>
        <v/>
      </c>
      <c r="G13" s="34">
        <f>E13*F13*'Дашборд и Сводка'!$C$8</f>
        <v/>
      </c>
      <c r="H13" s="34">
        <f>D13+G13</f>
        <v/>
      </c>
    </row>
    <row r="14" ht="20" customHeight="1">
      <c r="A14" s="28" t="inlineStr">
        <is>
          <t>Январь</t>
        </is>
      </c>
      <c r="B14" s="28" t="n">
        <v>9</v>
      </c>
      <c r="C14" s="28" t="n">
        <v>9</v>
      </c>
      <c r="D14" s="29">
        <f>H13</f>
        <v/>
      </c>
      <c r="E14" s="30">
        <f>MIN('Дашборд и Сводка'!$C$9, ROUNDUP(D14/'Дашборд и Сводка'!$C$6, 0)*0.01)</f>
        <v/>
      </c>
      <c r="F14" s="45">
        <f>'Дашборд и Сводка'!$C$7</f>
        <v/>
      </c>
      <c r="G14" s="29">
        <f>E14*F14*'Дашборд и Сводка'!$C$8</f>
        <v/>
      </c>
      <c r="H14" s="29">
        <f>D14+G14</f>
        <v/>
      </c>
    </row>
    <row r="15" ht="20" customHeight="1">
      <c r="A15" s="33" t="inlineStr">
        <is>
          <t>Январь</t>
        </is>
      </c>
      <c r="B15" s="33" t="n">
        <v>10</v>
      </c>
      <c r="C15" s="33" t="n">
        <v>10</v>
      </c>
      <c r="D15" s="34">
        <f>H14</f>
        <v/>
      </c>
      <c r="E15" s="35">
        <f>MIN('Дашборд и Сводка'!$C$9, ROUNDUP(D15/'Дашборд и Сводка'!$C$6, 0)*0.01)</f>
        <v/>
      </c>
      <c r="F15" s="46">
        <f>'Дашборд и Сводка'!$C$7</f>
        <v/>
      </c>
      <c r="G15" s="34">
        <f>E15*F15*'Дашборд и Сводка'!$C$8</f>
        <v/>
      </c>
      <c r="H15" s="34">
        <f>D15+G15</f>
        <v/>
      </c>
    </row>
    <row r="16" ht="20" customHeight="1">
      <c r="A16" s="28" t="inlineStr">
        <is>
          <t>Январь</t>
        </is>
      </c>
      <c r="B16" s="28" t="n">
        <v>11</v>
      </c>
      <c r="C16" s="28" t="n">
        <v>11</v>
      </c>
      <c r="D16" s="29">
        <f>H15</f>
        <v/>
      </c>
      <c r="E16" s="30">
        <f>MIN('Дашборд и Сводка'!$C$9, ROUNDUP(D16/'Дашборд и Сводка'!$C$6, 0)*0.01)</f>
        <v/>
      </c>
      <c r="F16" s="45">
        <f>'Дашборд и Сводка'!$C$7</f>
        <v/>
      </c>
      <c r="G16" s="29">
        <f>E16*F16*'Дашборд и Сводка'!$C$8</f>
        <v/>
      </c>
      <c r="H16" s="29">
        <f>D16+G16</f>
        <v/>
      </c>
    </row>
    <row r="17" ht="20" customHeight="1">
      <c r="A17" s="33" t="inlineStr">
        <is>
          <t>Январь</t>
        </is>
      </c>
      <c r="B17" s="33" t="n">
        <v>12</v>
      </c>
      <c r="C17" s="33" t="n">
        <v>12</v>
      </c>
      <c r="D17" s="34">
        <f>H16</f>
        <v/>
      </c>
      <c r="E17" s="35">
        <f>MIN('Дашборд и Сводка'!$C$9, ROUNDUP(D17/'Дашборд и Сводка'!$C$6, 0)*0.01)</f>
        <v/>
      </c>
      <c r="F17" s="46">
        <f>'Дашборд и Сводка'!$C$7</f>
        <v/>
      </c>
      <c r="G17" s="34">
        <f>E17*F17*'Дашборд и Сводка'!$C$8</f>
        <v/>
      </c>
      <c r="H17" s="34">
        <f>D17+G17</f>
        <v/>
      </c>
    </row>
    <row r="18" ht="20" customHeight="1">
      <c r="A18" s="28" t="inlineStr">
        <is>
          <t>Январь</t>
        </is>
      </c>
      <c r="B18" s="28" t="n">
        <v>13</v>
      </c>
      <c r="C18" s="28" t="n">
        <v>13</v>
      </c>
      <c r="D18" s="29">
        <f>H17</f>
        <v/>
      </c>
      <c r="E18" s="30">
        <f>MIN('Дашборд и Сводка'!$C$9, ROUNDUP(D18/'Дашборд и Сводка'!$C$6, 0)*0.01)</f>
        <v/>
      </c>
      <c r="F18" s="45">
        <f>'Дашборд и Сводка'!$C$7</f>
        <v/>
      </c>
      <c r="G18" s="29">
        <f>E18*F18*'Дашборд и Сводка'!$C$8</f>
        <v/>
      </c>
      <c r="H18" s="29">
        <f>D18+G18</f>
        <v/>
      </c>
    </row>
    <row r="19" ht="20" customHeight="1">
      <c r="A19" s="33" t="inlineStr">
        <is>
          <t>Январь</t>
        </is>
      </c>
      <c r="B19" s="33" t="n">
        <v>14</v>
      </c>
      <c r="C19" s="33" t="n">
        <v>14</v>
      </c>
      <c r="D19" s="34">
        <f>H18</f>
        <v/>
      </c>
      <c r="E19" s="35">
        <f>MIN('Дашборд и Сводка'!$C$9, ROUNDUP(D19/'Дашборд и Сводка'!$C$6, 0)*0.01)</f>
        <v/>
      </c>
      <c r="F19" s="46">
        <f>'Дашборд и Сводка'!$C$7</f>
        <v/>
      </c>
      <c r="G19" s="34">
        <f>E19*F19*'Дашборд и Сводка'!$C$8</f>
        <v/>
      </c>
      <c r="H19" s="34">
        <f>D19+G19</f>
        <v/>
      </c>
    </row>
    <row r="20" ht="20" customHeight="1">
      <c r="A20" s="28" t="inlineStr">
        <is>
          <t>Январь</t>
        </is>
      </c>
      <c r="B20" s="28" t="n">
        <v>15</v>
      </c>
      <c r="C20" s="28" t="n">
        <v>15</v>
      </c>
      <c r="D20" s="29">
        <f>H19</f>
        <v/>
      </c>
      <c r="E20" s="30">
        <f>MIN('Дашборд и Сводка'!$C$9, ROUNDUP(D20/'Дашборд и Сводка'!$C$6, 0)*0.01)</f>
        <v/>
      </c>
      <c r="F20" s="45">
        <f>'Дашборд и Сводка'!$C$7</f>
        <v/>
      </c>
      <c r="G20" s="29">
        <f>E20*F20*'Дашборд и Сводка'!$C$8</f>
        <v/>
      </c>
      <c r="H20" s="29">
        <f>D20+G20</f>
        <v/>
      </c>
    </row>
    <row r="21" ht="20" customHeight="1">
      <c r="A21" s="33" t="inlineStr">
        <is>
          <t>Январь</t>
        </is>
      </c>
      <c r="B21" s="33" t="n">
        <v>16</v>
      </c>
      <c r="C21" s="33" t="n">
        <v>16</v>
      </c>
      <c r="D21" s="34">
        <f>H20</f>
        <v/>
      </c>
      <c r="E21" s="35">
        <f>MIN('Дашборд и Сводка'!$C$9, ROUNDUP(D21/'Дашборд и Сводка'!$C$6, 0)*0.01)</f>
        <v/>
      </c>
      <c r="F21" s="46">
        <f>'Дашборд и Сводка'!$C$7</f>
        <v/>
      </c>
      <c r="G21" s="34">
        <f>E21*F21*'Дашборд и Сводка'!$C$8</f>
        <v/>
      </c>
      <c r="H21" s="34">
        <f>D21+G21</f>
        <v/>
      </c>
    </row>
    <row r="22" ht="20" customHeight="1">
      <c r="A22" s="28" t="inlineStr">
        <is>
          <t>Январь</t>
        </is>
      </c>
      <c r="B22" s="28" t="n">
        <v>17</v>
      </c>
      <c r="C22" s="28" t="n">
        <v>17</v>
      </c>
      <c r="D22" s="29">
        <f>H21</f>
        <v/>
      </c>
      <c r="E22" s="30">
        <f>MIN('Дашборд и Сводка'!$C$9, ROUNDUP(D22/'Дашборд и Сводка'!$C$6, 0)*0.01)</f>
        <v/>
      </c>
      <c r="F22" s="45">
        <f>'Дашборд и Сводка'!$C$7</f>
        <v/>
      </c>
      <c r="G22" s="29">
        <f>E22*F22*'Дашборд и Сводка'!$C$8</f>
        <v/>
      </c>
      <c r="H22" s="29">
        <f>D22+G22</f>
        <v/>
      </c>
    </row>
    <row r="23" ht="20" customHeight="1">
      <c r="A23" s="33" t="inlineStr">
        <is>
          <t>Январь</t>
        </is>
      </c>
      <c r="B23" s="33" t="n">
        <v>18</v>
      </c>
      <c r="C23" s="33" t="n">
        <v>18</v>
      </c>
      <c r="D23" s="34">
        <f>H22</f>
        <v/>
      </c>
      <c r="E23" s="35">
        <f>MIN('Дашборд и Сводка'!$C$9, ROUNDUP(D23/'Дашборд и Сводка'!$C$6, 0)*0.01)</f>
        <v/>
      </c>
      <c r="F23" s="46">
        <f>'Дашборд и Сводка'!$C$7</f>
        <v/>
      </c>
      <c r="G23" s="34">
        <f>E23*F23*'Дашборд и Сводка'!$C$8</f>
        <v/>
      </c>
      <c r="H23" s="34">
        <f>D23+G23</f>
        <v/>
      </c>
    </row>
    <row r="24" ht="20" customHeight="1">
      <c r="A24" s="28" t="inlineStr">
        <is>
          <t>Январь</t>
        </is>
      </c>
      <c r="B24" s="28" t="n">
        <v>19</v>
      </c>
      <c r="C24" s="28" t="n">
        <v>19</v>
      </c>
      <c r="D24" s="29">
        <f>H23</f>
        <v/>
      </c>
      <c r="E24" s="30">
        <f>MIN('Дашборд и Сводка'!$C$9, ROUNDUP(D24/'Дашборд и Сводка'!$C$6, 0)*0.01)</f>
        <v/>
      </c>
      <c r="F24" s="45">
        <f>'Дашборд и Сводка'!$C$7</f>
        <v/>
      </c>
      <c r="G24" s="29">
        <f>E24*F24*'Дашборд и Сводка'!$C$8</f>
        <v/>
      </c>
      <c r="H24" s="29">
        <f>D24+G24</f>
        <v/>
      </c>
    </row>
    <row r="25" ht="20" customHeight="1">
      <c r="A25" s="33" t="inlineStr">
        <is>
          <t>Январь</t>
        </is>
      </c>
      <c r="B25" s="33" t="n">
        <v>20</v>
      </c>
      <c r="C25" s="33" t="n">
        <v>20</v>
      </c>
      <c r="D25" s="34">
        <f>H24</f>
        <v/>
      </c>
      <c r="E25" s="35">
        <f>MIN('Дашборд и Сводка'!$C$9, ROUNDUP(D25/'Дашборд и Сводка'!$C$6, 0)*0.01)</f>
        <v/>
      </c>
      <c r="F25" s="46">
        <f>'Дашборд и Сводка'!$C$7</f>
        <v/>
      </c>
      <c r="G25" s="34">
        <f>E25*F25*'Дашборд и Сводка'!$C$8</f>
        <v/>
      </c>
      <c r="H25" s="34">
        <f>D25+G25</f>
        <v/>
      </c>
    </row>
    <row r="26" ht="20" customHeight="1">
      <c r="A26" s="28" t="inlineStr">
        <is>
          <t>Январь</t>
        </is>
      </c>
      <c r="B26" s="28" t="n">
        <v>21</v>
      </c>
      <c r="C26" s="28" t="n">
        <v>21</v>
      </c>
      <c r="D26" s="29">
        <f>H25</f>
        <v/>
      </c>
      <c r="E26" s="30">
        <f>MIN('Дашборд и Сводка'!$C$9, ROUNDUP(D26/'Дашборд и Сводка'!$C$6, 0)*0.01)</f>
        <v/>
      </c>
      <c r="F26" s="45">
        <f>'Дашборд и Сводка'!$C$7</f>
        <v/>
      </c>
      <c r="G26" s="29">
        <f>E26*F26*'Дашборд и Сводка'!$C$8</f>
        <v/>
      </c>
      <c r="H26" s="29">
        <f>D26+G26</f>
        <v/>
      </c>
    </row>
    <row r="27" ht="20" customHeight="1">
      <c r="A27" s="33" t="inlineStr">
        <is>
          <t>Январь</t>
        </is>
      </c>
      <c r="B27" s="33" t="n">
        <v>22</v>
      </c>
      <c r="C27" s="33" t="n">
        <v>22</v>
      </c>
      <c r="D27" s="34">
        <f>H26</f>
        <v/>
      </c>
      <c r="E27" s="35">
        <f>MIN('Дашборд и Сводка'!$C$9, ROUNDUP(D27/'Дашборд и Сводка'!$C$6, 0)*0.01)</f>
        <v/>
      </c>
      <c r="F27" s="46">
        <f>'Дашборд и Сводка'!$C$7</f>
        <v/>
      </c>
      <c r="G27" s="34">
        <f>E27*F27*'Дашборд и Сводка'!$C$8</f>
        <v/>
      </c>
      <c r="H27" s="34">
        <f>D27+G27</f>
        <v/>
      </c>
    </row>
    <row r="28" ht="20" customHeight="1">
      <c r="A28" s="28" t="inlineStr">
        <is>
          <t>Январь</t>
        </is>
      </c>
      <c r="B28" s="28" t="n">
        <v>23</v>
      </c>
      <c r="C28" s="28" t="n">
        <v>23</v>
      </c>
      <c r="D28" s="29">
        <f>H27</f>
        <v/>
      </c>
      <c r="E28" s="30">
        <f>MIN('Дашборд и Сводка'!$C$9, ROUNDUP(D28/'Дашборд и Сводка'!$C$6, 0)*0.01)</f>
        <v/>
      </c>
      <c r="F28" s="45">
        <f>'Дашборд и Сводка'!$C$7</f>
        <v/>
      </c>
      <c r="G28" s="29">
        <f>E28*F28*'Дашборд и Сводка'!$C$8</f>
        <v/>
      </c>
      <c r="H28" s="29">
        <f>D28+G28</f>
        <v/>
      </c>
    </row>
    <row r="29" ht="20" customHeight="1">
      <c r="A29" s="33" t="inlineStr">
        <is>
          <t>Январь</t>
        </is>
      </c>
      <c r="B29" s="33" t="n">
        <v>24</v>
      </c>
      <c r="C29" s="33" t="n">
        <v>24</v>
      </c>
      <c r="D29" s="34">
        <f>H28</f>
        <v/>
      </c>
      <c r="E29" s="35">
        <f>MIN('Дашборд и Сводка'!$C$9, ROUNDUP(D29/'Дашборд и Сводка'!$C$6, 0)*0.01)</f>
        <v/>
      </c>
      <c r="F29" s="46">
        <f>'Дашборд и Сводка'!$C$7</f>
        <v/>
      </c>
      <c r="G29" s="34">
        <f>E29*F29*'Дашборд и Сводка'!$C$8</f>
        <v/>
      </c>
      <c r="H29" s="34">
        <f>D29+G29</f>
        <v/>
      </c>
    </row>
    <row r="30" ht="20" customHeight="1">
      <c r="A30" s="28" t="inlineStr">
        <is>
          <t>Январь</t>
        </is>
      </c>
      <c r="B30" s="28" t="n">
        <v>25</v>
      </c>
      <c r="C30" s="28" t="n">
        <v>25</v>
      </c>
      <c r="D30" s="29">
        <f>H29</f>
        <v/>
      </c>
      <c r="E30" s="30">
        <f>MIN('Дашборд и Сводка'!$C$9, ROUNDUP(D30/'Дашборд и Сводка'!$C$6, 0)*0.01)</f>
        <v/>
      </c>
      <c r="F30" s="45">
        <f>'Дашборд и Сводка'!$C$7</f>
        <v/>
      </c>
      <c r="G30" s="29">
        <f>E30*F30*'Дашборд и Сводка'!$C$8</f>
        <v/>
      </c>
      <c r="H30" s="29">
        <f>D30+G30</f>
        <v/>
      </c>
    </row>
    <row r="31" ht="20" customHeight="1">
      <c r="A31" s="33" t="inlineStr">
        <is>
          <t>Январь</t>
        </is>
      </c>
      <c r="B31" s="33" t="n">
        <v>26</v>
      </c>
      <c r="C31" s="33" t="n">
        <v>26</v>
      </c>
      <c r="D31" s="34">
        <f>H30</f>
        <v/>
      </c>
      <c r="E31" s="35">
        <f>MIN('Дашборд и Сводка'!$C$9, ROUNDUP(D31/'Дашборд и Сводка'!$C$6, 0)*0.01)</f>
        <v/>
      </c>
      <c r="F31" s="46">
        <f>'Дашборд и Сводка'!$C$7</f>
        <v/>
      </c>
      <c r="G31" s="34">
        <f>E31*F31*'Дашборд и Сводка'!$C$8</f>
        <v/>
      </c>
      <c r="H31" s="34">
        <f>D31+G31</f>
        <v/>
      </c>
    </row>
    <row r="32" ht="20" customHeight="1">
      <c r="A32" s="28" t="inlineStr">
        <is>
          <t>Январь</t>
        </is>
      </c>
      <c r="B32" s="28" t="n">
        <v>27</v>
      </c>
      <c r="C32" s="28" t="n">
        <v>27</v>
      </c>
      <c r="D32" s="29">
        <f>H31</f>
        <v/>
      </c>
      <c r="E32" s="30">
        <f>MIN('Дашборд и Сводка'!$C$9, ROUNDUP(D32/'Дашборд и Сводка'!$C$6, 0)*0.01)</f>
        <v/>
      </c>
      <c r="F32" s="45">
        <f>'Дашборд и Сводка'!$C$7</f>
        <v/>
      </c>
      <c r="G32" s="29">
        <f>E32*F32*'Дашборд и Сводка'!$C$8</f>
        <v/>
      </c>
      <c r="H32" s="29">
        <f>D32+G32</f>
        <v/>
      </c>
    </row>
    <row r="33" ht="20" customHeight="1">
      <c r="A33" s="33" t="inlineStr">
        <is>
          <t>Январь</t>
        </is>
      </c>
      <c r="B33" s="33" t="n">
        <v>28</v>
      </c>
      <c r="C33" s="33" t="n">
        <v>28</v>
      </c>
      <c r="D33" s="34">
        <f>H32</f>
        <v/>
      </c>
      <c r="E33" s="35">
        <f>MIN('Дашборд и Сводка'!$C$9, ROUNDUP(D33/'Дашборд и Сводка'!$C$6, 0)*0.01)</f>
        <v/>
      </c>
      <c r="F33" s="46">
        <f>'Дашборд и Сводка'!$C$7</f>
        <v/>
      </c>
      <c r="G33" s="34">
        <f>E33*F33*'Дашборд и Сводка'!$C$8</f>
        <v/>
      </c>
      <c r="H33" s="34">
        <f>D33+G33</f>
        <v/>
      </c>
    </row>
    <row r="34" ht="20" customHeight="1">
      <c r="A34" s="28" t="inlineStr">
        <is>
          <t>Январь</t>
        </is>
      </c>
      <c r="B34" s="28" t="n">
        <v>29</v>
      </c>
      <c r="C34" s="28" t="n">
        <v>29</v>
      </c>
      <c r="D34" s="29">
        <f>H33</f>
        <v/>
      </c>
      <c r="E34" s="30">
        <f>MIN('Дашборд и Сводка'!$C$9, ROUNDUP(D34/'Дашборд и Сводка'!$C$6, 0)*0.01)</f>
        <v/>
      </c>
      <c r="F34" s="45">
        <f>'Дашборд и Сводка'!$C$7</f>
        <v/>
      </c>
      <c r="G34" s="29">
        <f>E34*F34*'Дашборд и Сводка'!$C$8</f>
        <v/>
      </c>
      <c r="H34" s="29">
        <f>D34+G34</f>
        <v/>
      </c>
    </row>
    <row r="35" ht="20" customHeight="1">
      <c r="A35" s="33" t="inlineStr">
        <is>
          <t>Январь</t>
        </is>
      </c>
      <c r="B35" s="33" t="n">
        <v>30</v>
      </c>
      <c r="C35" s="33" t="n">
        <v>30</v>
      </c>
      <c r="D35" s="34">
        <f>H34</f>
        <v/>
      </c>
      <c r="E35" s="35">
        <f>MIN('Дашборд и Сводка'!$C$9, ROUNDUP(D35/'Дашборд и Сводка'!$C$6, 0)*0.01)</f>
        <v/>
      </c>
      <c r="F35" s="46">
        <f>'Дашборд и Сводка'!$C$7</f>
        <v/>
      </c>
      <c r="G35" s="34">
        <f>E35*F35*'Дашборд и Сводка'!$C$8</f>
        <v/>
      </c>
      <c r="H35" s="34">
        <f>D35+G35</f>
        <v/>
      </c>
    </row>
    <row r="36" ht="20" customHeight="1">
      <c r="A36" s="28" t="inlineStr">
        <is>
          <t>Январь</t>
        </is>
      </c>
      <c r="B36" s="28" t="n">
        <v>31</v>
      </c>
      <c r="C36" s="28" t="n">
        <v>31</v>
      </c>
      <c r="D36" s="29">
        <f>H35</f>
        <v/>
      </c>
      <c r="E36" s="30">
        <f>MIN('Дашборд и Сводка'!$C$9, ROUNDUP(D36/'Дашборд и Сводка'!$C$6, 0)*0.01)</f>
        <v/>
      </c>
      <c r="F36" s="45">
        <f>'Дашборд и Сводка'!$C$7</f>
        <v/>
      </c>
      <c r="G36" s="29">
        <f>E36*F36*'Дашборд и Сводка'!$C$8</f>
        <v/>
      </c>
      <c r="H36" s="29">
        <f>D36+G36</f>
        <v/>
      </c>
    </row>
    <row r="37" ht="24" customHeight="1">
      <c r="A37" s="56" t="inlineStr">
        <is>
          <t>ИТОГО ЗА ЯНВАРЬ:</t>
        </is>
      </c>
      <c r="B37" s="48" t="n"/>
      <c r="C37" s="48" t="n"/>
      <c r="D37" s="57">
        <f>D6</f>
        <v/>
      </c>
      <c r="E37" s="58">
        <f>MAX(E6:E36)</f>
        <v/>
      </c>
      <c r="F37" s="59">
        <f>'Дашборд и Сводка'!$C$7</f>
        <v/>
      </c>
      <c r="G37" s="60">
        <f>SUM(G6:G36)</f>
        <v/>
      </c>
      <c r="H37" s="61">
        <f>H36</f>
        <v/>
      </c>
    </row>
    <row r="39" ht="26" customHeight="1">
      <c r="A39" s="55" t="inlineStr">
        <is>
          <t>МЕСЯЦ 2: ФЕВРАЛЬ (28 торговых дней)</t>
        </is>
      </c>
    </row>
    <row r="40" ht="24" customHeight="1">
      <c r="A40" s="44" t="inlineStr">
        <is>
          <t>Месяц</t>
        </is>
      </c>
      <c r="B40" s="44" t="inlineStr">
        <is>
          <t>День года</t>
        </is>
      </c>
      <c r="C40" s="44" t="inlineStr">
        <is>
          <t>День месяца</t>
        </is>
      </c>
      <c r="D40" s="44" t="inlineStr">
        <is>
          <t>Начальный депозит ($)</t>
        </is>
      </c>
      <c r="E40" s="44" t="inlineStr">
        <is>
          <t>Размер лота</t>
        </is>
      </c>
      <c r="F40" s="44" t="inlineStr">
        <is>
          <t>Цель (пунктов)</t>
        </is>
      </c>
      <c r="G40" s="44" t="inlineStr">
        <is>
          <t>Прибыль за день ($)</t>
        </is>
      </c>
      <c r="H40" s="44" t="inlineStr">
        <is>
          <t>Итоговый баланс ($)</t>
        </is>
      </c>
    </row>
    <row r="41" ht="20" customHeight="1">
      <c r="A41" s="28" t="inlineStr">
        <is>
          <t>Февраль</t>
        </is>
      </c>
      <c r="B41" s="28" t="n">
        <v>32</v>
      </c>
      <c r="C41" s="28" t="n">
        <v>1</v>
      </c>
      <c r="D41" s="29">
        <f>H36</f>
        <v/>
      </c>
      <c r="E41" s="30">
        <f>MIN('Дашборд и Сводка'!$C$9, ROUNDUP(D41/'Дашборд и Сводка'!$C$6, 0)*0.01)</f>
        <v/>
      </c>
      <c r="F41" s="45">
        <f>'Дашборд и Сводка'!$C$7</f>
        <v/>
      </c>
      <c r="G41" s="29">
        <f>E41*F41*'Дашборд и Сводка'!$C$8</f>
        <v/>
      </c>
      <c r="H41" s="29">
        <f>D41+G41</f>
        <v/>
      </c>
    </row>
    <row r="42" ht="20" customHeight="1">
      <c r="A42" s="33" t="inlineStr">
        <is>
          <t>Февраль</t>
        </is>
      </c>
      <c r="B42" s="33" t="n">
        <v>33</v>
      </c>
      <c r="C42" s="33" t="n">
        <v>2</v>
      </c>
      <c r="D42" s="34">
        <f>H41</f>
        <v/>
      </c>
      <c r="E42" s="35">
        <f>MIN('Дашборд и Сводка'!$C$9, ROUNDUP(D42/'Дашборд и Сводка'!$C$6, 0)*0.01)</f>
        <v/>
      </c>
      <c r="F42" s="46">
        <f>'Дашборд и Сводка'!$C$7</f>
        <v/>
      </c>
      <c r="G42" s="34">
        <f>E42*F42*'Дашборд и Сводка'!$C$8</f>
        <v/>
      </c>
      <c r="H42" s="34">
        <f>D42+G42</f>
        <v/>
      </c>
    </row>
    <row r="43" ht="20" customHeight="1">
      <c r="A43" s="28" t="inlineStr">
        <is>
          <t>Февраль</t>
        </is>
      </c>
      <c r="B43" s="28" t="n">
        <v>34</v>
      </c>
      <c r="C43" s="28" t="n">
        <v>3</v>
      </c>
      <c r="D43" s="29">
        <f>H42</f>
        <v/>
      </c>
      <c r="E43" s="30">
        <f>MIN('Дашборд и Сводка'!$C$9, ROUNDUP(D43/'Дашборд и Сводка'!$C$6, 0)*0.01)</f>
        <v/>
      </c>
      <c r="F43" s="45">
        <f>'Дашборд и Сводка'!$C$7</f>
        <v/>
      </c>
      <c r="G43" s="29">
        <f>E43*F43*'Дашборд и Сводка'!$C$8</f>
        <v/>
      </c>
      <c r="H43" s="29">
        <f>D43+G43</f>
        <v/>
      </c>
    </row>
    <row r="44" ht="20" customHeight="1">
      <c r="A44" s="33" t="inlineStr">
        <is>
          <t>Февраль</t>
        </is>
      </c>
      <c r="B44" s="33" t="n">
        <v>35</v>
      </c>
      <c r="C44" s="33" t="n">
        <v>4</v>
      </c>
      <c r="D44" s="34">
        <f>H43</f>
        <v/>
      </c>
      <c r="E44" s="35">
        <f>MIN('Дашборд и Сводка'!$C$9, ROUNDUP(D44/'Дашборд и Сводка'!$C$6, 0)*0.01)</f>
        <v/>
      </c>
      <c r="F44" s="46">
        <f>'Дашборд и Сводка'!$C$7</f>
        <v/>
      </c>
      <c r="G44" s="34">
        <f>E44*F44*'Дашборд и Сводка'!$C$8</f>
        <v/>
      </c>
      <c r="H44" s="34">
        <f>D44+G44</f>
        <v/>
      </c>
    </row>
    <row r="45" ht="20" customHeight="1">
      <c r="A45" s="28" t="inlineStr">
        <is>
          <t>Февраль</t>
        </is>
      </c>
      <c r="B45" s="28" t="n">
        <v>36</v>
      </c>
      <c r="C45" s="28" t="n">
        <v>5</v>
      </c>
      <c r="D45" s="29">
        <f>H44</f>
        <v/>
      </c>
      <c r="E45" s="30">
        <f>MIN('Дашборд и Сводка'!$C$9, ROUNDUP(D45/'Дашборд и Сводка'!$C$6, 0)*0.01)</f>
        <v/>
      </c>
      <c r="F45" s="45">
        <f>'Дашборд и Сводка'!$C$7</f>
        <v/>
      </c>
      <c r="G45" s="29">
        <f>E45*F45*'Дашборд и Сводка'!$C$8</f>
        <v/>
      </c>
      <c r="H45" s="29">
        <f>D45+G45</f>
        <v/>
      </c>
    </row>
    <row r="46" ht="20" customHeight="1">
      <c r="A46" s="33" t="inlineStr">
        <is>
          <t>Февраль</t>
        </is>
      </c>
      <c r="B46" s="33" t="n">
        <v>37</v>
      </c>
      <c r="C46" s="33" t="n">
        <v>6</v>
      </c>
      <c r="D46" s="34">
        <f>H45</f>
        <v/>
      </c>
      <c r="E46" s="35">
        <f>MIN('Дашборд и Сводка'!$C$9, ROUNDUP(D46/'Дашборд и Сводка'!$C$6, 0)*0.01)</f>
        <v/>
      </c>
      <c r="F46" s="46">
        <f>'Дашборд и Сводка'!$C$7</f>
        <v/>
      </c>
      <c r="G46" s="34">
        <f>E46*F46*'Дашборд и Сводка'!$C$8</f>
        <v/>
      </c>
      <c r="H46" s="34">
        <f>D46+G46</f>
        <v/>
      </c>
    </row>
    <row r="47" ht="20" customHeight="1">
      <c r="A47" s="28" t="inlineStr">
        <is>
          <t>Февраль</t>
        </is>
      </c>
      <c r="B47" s="28" t="n">
        <v>38</v>
      </c>
      <c r="C47" s="28" t="n">
        <v>7</v>
      </c>
      <c r="D47" s="29">
        <f>H46</f>
        <v/>
      </c>
      <c r="E47" s="30">
        <f>MIN('Дашборд и Сводка'!$C$9, ROUNDUP(D47/'Дашборд и Сводка'!$C$6, 0)*0.01)</f>
        <v/>
      </c>
      <c r="F47" s="45">
        <f>'Дашборд и Сводка'!$C$7</f>
        <v/>
      </c>
      <c r="G47" s="29">
        <f>E47*F47*'Дашборд и Сводка'!$C$8</f>
        <v/>
      </c>
      <c r="H47" s="29">
        <f>D47+G47</f>
        <v/>
      </c>
    </row>
    <row r="48" ht="20" customHeight="1">
      <c r="A48" s="33" t="inlineStr">
        <is>
          <t>Февраль</t>
        </is>
      </c>
      <c r="B48" s="33" t="n">
        <v>39</v>
      </c>
      <c r="C48" s="33" t="n">
        <v>8</v>
      </c>
      <c r="D48" s="34">
        <f>H47</f>
        <v/>
      </c>
      <c r="E48" s="35">
        <f>MIN('Дашборд и Сводка'!$C$9, ROUNDUP(D48/'Дашборд и Сводка'!$C$6, 0)*0.01)</f>
        <v/>
      </c>
      <c r="F48" s="46">
        <f>'Дашборд и Сводка'!$C$7</f>
        <v/>
      </c>
      <c r="G48" s="34">
        <f>E48*F48*'Дашборд и Сводка'!$C$8</f>
        <v/>
      </c>
      <c r="H48" s="34">
        <f>D48+G48</f>
        <v/>
      </c>
    </row>
    <row r="49" ht="20" customHeight="1">
      <c r="A49" s="28" t="inlineStr">
        <is>
          <t>Февраль</t>
        </is>
      </c>
      <c r="B49" s="28" t="n">
        <v>40</v>
      </c>
      <c r="C49" s="28" t="n">
        <v>9</v>
      </c>
      <c r="D49" s="29">
        <f>H48</f>
        <v/>
      </c>
      <c r="E49" s="30">
        <f>MIN('Дашборд и Сводка'!$C$9, ROUNDUP(D49/'Дашборд и Сводка'!$C$6, 0)*0.01)</f>
        <v/>
      </c>
      <c r="F49" s="45">
        <f>'Дашборд и Сводка'!$C$7</f>
        <v/>
      </c>
      <c r="G49" s="29">
        <f>E49*F49*'Дашборд и Сводка'!$C$8</f>
        <v/>
      </c>
      <c r="H49" s="29">
        <f>D49+G49</f>
        <v/>
      </c>
    </row>
    <row r="50" ht="20" customHeight="1">
      <c r="A50" s="33" t="inlineStr">
        <is>
          <t>Февраль</t>
        </is>
      </c>
      <c r="B50" s="33" t="n">
        <v>41</v>
      </c>
      <c r="C50" s="33" t="n">
        <v>10</v>
      </c>
      <c r="D50" s="34">
        <f>H49</f>
        <v/>
      </c>
      <c r="E50" s="35">
        <f>MIN('Дашборд и Сводка'!$C$9, ROUNDUP(D50/'Дашборд и Сводка'!$C$6, 0)*0.01)</f>
        <v/>
      </c>
      <c r="F50" s="46">
        <f>'Дашборд и Сводка'!$C$7</f>
        <v/>
      </c>
      <c r="G50" s="34">
        <f>E50*F50*'Дашборд и Сводка'!$C$8</f>
        <v/>
      </c>
      <c r="H50" s="34">
        <f>D50+G50</f>
        <v/>
      </c>
    </row>
    <row r="51" ht="20" customHeight="1">
      <c r="A51" s="28" t="inlineStr">
        <is>
          <t>Февраль</t>
        </is>
      </c>
      <c r="B51" s="28" t="n">
        <v>42</v>
      </c>
      <c r="C51" s="28" t="n">
        <v>11</v>
      </c>
      <c r="D51" s="29">
        <f>H50</f>
        <v/>
      </c>
      <c r="E51" s="30">
        <f>MIN('Дашборд и Сводка'!$C$9, ROUNDUP(D51/'Дашборд и Сводка'!$C$6, 0)*0.01)</f>
        <v/>
      </c>
      <c r="F51" s="45">
        <f>'Дашборд и Сводка'!$C$7</f>
        <v/>
      </c>
      <c r="G51" s="29">
        <f>E51*F51*'Дашборд и Сводка'!$C$8</f>
        <v/>
      </c>
      <c r="H51" s="29">
        <f>D51+G51</f>
        <v/>
      </c>
    </row>
    <row r="52" ht="20" customHeight="1">
      <c r="A52" s="33" t="inlineStr">
        <is>
          <t>Февраль</t>
        </is>
      </c>
      <c r="B52" s="33" t="n">
        <v>43</v>
      </c>
      <c r="C52" s="33" t="n">
        <v>12</v>
      </c>
      <c r="D52" s="34">
        <f>H51</f>
        <v/>
      </c>
      <c r="E52" s="35">
        <f>MIN('Дашборд и Сводка'!$C$9, ROUNDUP(D52/'Дашборд и Сводка'!$C$6, 0)*0.01)</f>
        <v/>
      </c>
      <c r="F52" s="46">
        <f>'Дашборд и Сводка'!$C$7</f>
        <v/>
      </c>
      <c r="G52" s="34">
        <f>E52*F52*'Дашборд и Сводка'!$C$8</f>
        <v/>
      </c>
      <c r="H52" s="34">
        <f>D52+G52</f>
        <v/>
      </c>
    </row>
    <row r="53" ht="20" customHeight="1">
      <c r="A53" s="28" t="inlineStr">
        <is>
          <t>Февраль</t>
        </is>
      </c>
      <c r="B53" s="28" t="n">
        <v>44</v>
      </c>
      <c r="C53" s="28" t="n">
        <v>13</v>
      </c>
      <c r="D53" s="29">
        <f>H52</f>
        <v/>
      </c>
      <c r="E53" s="30">
        <f>MIN('Дашборд и Сводка'!$C$9, ROUNDUP(D53/'Дашборд и Сводка'!$C$6, 0)*0.01)</f>
        <v/>
      </c>
      <c r="F53" s="45">
        <f>'Дашборд и Сводка'!$C$7</f>
        <v/>
      </c>
      <c r="G53" s="29">
        <f>E53*F53*'Дашборд и Сводка'!$C$8</f>
        <v/>
      </c>
      <c r="H53" s="29">
        <f>D53+G53</f>
        <v/>
      </c>
    </row>
    <row r="54" ht="20" customHeight="1">
      <c r="A54" s="33" t="inlineStr">
        <is>
          <t>Февраль</t>
        </is>
      </c>
      <c r="B54" s="33" t="n">
        <v>45</v>
      </c>
      <c r="C54" s="33" t="n">
        <v>14</v>
      </c>
      <c r="D54" s="34">
        <f>H53</f>
        <v/>
      </c>
      <c r="E54" s="35">
        <f>MIN('Дашборд и Сводка'!$C$9, ROUNDUP(D54/'Дашборд и Сводка'!$C$6, 0)*0.01)</f>
        <v/>
      </c>
      <c r="F54" s="46">
        <f>'Дашборд и Сводка'!$C$7</f>
        <v/>
      </c>
      <c r="G54" s="34">
        <f>E54*F54*'Дашборд и Сводка'!$C$8</f>
        <v/>
      </c>
      <c r="H54" s="34">
        <f>D54+G54</f>
        <v/>
      </c>
    </row>
    <row r="55" ht="20" customHeight="1">
      <c r="A55" s="28" t="inlineStr">
        <is>
          <t>Февраль</t>
        </is>
      </c>
      <c r="B55" s="28" t="n">
        <v>46</v>
      </c>
      <c r="C55" s="28" t="n">
        <v>15</v>
      </c>
      <c r="D55" s="29">
        <f>H54</f>
        <v/>
      </c>
      <c r="E55" s="30">
        <f>MIN('Дашборд и Сводка'!$C$9, ROUNDUP(D55/'Дашборд и Сводка'!$C$6, 0)*0.01)</f>
        <v/>
      </c>
      <c r="F55" s="45">
        <f>'Дашборд и Сводка'!$C$7</f>
        <v/>
      </c>
      <c r="G55" s="29">
        <f>E55*F55*'Дашборд и Сводка'!$C$8</f>
        <v/>
      </c>
      <c r="H55" s="29">
        <f>D55+G55</f>
        <v/>
      </c>
    </row>
    <row r="56" ht="20" customHeight="1">
      <c r="A56" s="33" t="inlineStr">
        <is>
          <t>Февраль</t>
        </is>
      </c>
      <c r="B56" s="33" t="n">
        <v>47</v>
      </c>
      <c r="C56" s="33" t="n">
        <v>16</v>
      </c>
      <c r="D56" s="34">
        <f>H55</f>
        <v/>
      </c>
      <c r="E56" s="35">
        <f>MIN('Дашборд и Сводка'!$C$9, ROUNDUP(D56/'Дашборд и Сводка'!$C$6, 0)*0.01)</f>
        <v/>
      </c>
      <c r="F56" s="46">
        <f>'Дашборд и Сводка'!$C$7</f>
        <v/>
      </c>
      <c r="G56" s="34">
        <f>E56*F56*'Дашборд и Сводка'!$C$8</f>
        <v/>
      </c>
      <c r="H56" s="34">
        <f>D56+G56</f>
        <v/>
      </c>
    </row>
    <row r="57" ht="20" customHeight="1">
      <c r="A57" s="28" t="inlineStr">
        <is>
          <t>Февраль</t>
        </is>
      </c>
      <c r="B57" s="28" t="n">
        <v>48</v>
      </c>
      <c r="C57" s="28" t="n">
        <v>17</v>
      </c>
      <c r="D57" s="29">
        <f>H56</f>
        <v/>
      </c>
      <c r="E57" s="30">
        <f>MIN('Дашборд и Сводка'!$C$9, ROUNDUP(D57/'Дашборд и Сводка'!$C$6, 0)*0.01)</f>
        <v/>
      </c>
      <c r="F57" s="45">
        <f>'Дашборд и Сводка'!$C$7</f>
        <v/>
      </c>
      <c r="G57" s="29">
        <f>E57*F57*'Дашборд и Сводка'!$C$8</f>
        <v/>
      </c>
      <c r="H57" s="29">
        <f>D57+G57</f>
        <v/>
      </c>
    </row>
    <row r="58" ht="20" customHeight="1">
      <c r="A58" s="33" t="inlineStr">
        <is>
          <t>Февраль</t>
        </is>
      </c>
      <c r="B58" s="33" t="n">
        <v>49</v>
      </c>
      <c r="C58" s="33" t="n">
        <v>18</v>
      </c>
      <c r="D58" s="34">
        <f>H57</f>
        <v/>
      </c>
      <c r="E58" s="35">
        <f>MIN('Дашборд и Сводка'!$C$9, ROUNDUP(D58/'Дашборд и Сводка'!$C$6, 0)*0.01)</f>
        <v/>
      </c>
      <c r="F58" s="46">
        <f>'Дашборд и Сводка'!$C$7</f>
        <v/>
      </c>
      <c r="G58" s="34">
        <f>E58*F58*'Дашборд и Сводка'!$C$8</f>
        <v/>
      </c>
      <c r="H58" s="34">
        <f>D58+G58</f>
        <v/>
      </c>
    </row>
    <row r="59" ht="20" customHeight="1">
      <c r="A59" s="28" t="inlineStr">
        <is>
          <t>Февраль</t>
        </is>
      </c>
      <c r="B59" s="28" t="n">
        <v>50</v>
      </c>
      <c r="C59" s="28" t="n">
        <v>19</v>
      </c>
      <c r="D59" s="29">
        <f>H58</f>
        <v/>
      </c>
      <c r="E59" s="30">
        <f>MIN('Дашборд и Сводка'!$C$9, ROUNDUP(D59/'Дашборд и Сводка'!$C$6, 0)*0.01)</f>
        <v/>
      </c>
      <c r="F59" s="45">
        <f>'Дашборд и Сводка'!$C$7</f>
        <v/>
      </c>
      <c r="G59" s="29">
        <f>E59*F59*'Дашборд и Сводка'!$C$8</f>
        <v/>
      </c>
      <c r="H59" s="29">
        <f>D59+G59</f>
        <v/>
      </c>
    </row>
    <row r="60" ht="20" customHeight="1">
      <c r="A60" s="33" t="inlineStr">
        <is>
          <t>Февраль</t>
        </is>
      </c>
      <c r="B60" s="33" t="n">
        <v>51</v>
      </c>
      <c r="C60" s="33" t="n">
        <v>20</v>
      </c>
      <c r="D60" s="34">
        <f>H59</f>
        <v/>
      </c>
      <c r="E60" s="35">
        <f>MIN('Дашборд и Сводка'!$C$9, ROUNDUP(D60/'Дашборд и Сводка'!$C$6, 0)*0.01)</f>
        <v/>
      </c>
      <c r="F60" s="46">
        <f>'Дашборд и Сводка'!$C$7</f>
        <v/>
      </c>
      <c r="G60" s="34">
        <f>E60*F60*'Дашборд и Сводка'!$C$8</f>
        <v/>
      </c>
      <c r="H60" s="34">
        <f>D60+G60</f>
        <v/>
      </c>
    </row>
    <row r="61" ht="20" customHeight="1">
      <c r="A61" s="28" t="inlineStr">
        <is>
          <t>Февраль</t>
        </is>
      </c>
      <c r="B61" s="28" t="n">
        <v>52</v>
      </c>
      <c r="C61" s="28" t="n">
        <v>21</v>
      </c>
      <c r="D61" s="29">
        <f>H60</f>
        <v/>
      </c>
      <c r="E61" s="30">
        <f>MIN('Дашборд и Сводка'!$C$9, ROUNDUP(D61/'Дашборд и Сводка'!$C$6, 0)*0.01)</f>
        <v/>
      </c>
      <c r="F61" s="45">
        <f>'Дашборд и Сводка'!$C$7</f>
        <v/>
      </c>
      <c r="G61" s="29">
        <f>E61*F61*'Дашборд и Сводка'!$C$8</f>
        <v/>
      </c>
      <c r="H61" s="29">
        <f>D61+G61</f>
        <v/>
      </c>
    </row>
    <row r="62" ht="20" customHeight="1">
      <c r="A62" s="33" t="inlineStr">
        <is>
          <t>Февраль</t>
        </is>
      </c>
      <c r="B62" s="33" t="n">
        <v>53</v>
      </c>
      <c r="C62" s="33" t="n">
        <v>22</v>
      </c>
      <c r="D62" s="34">
        <f>H61</f>
        <v/>
      </c>
      <c r="E62" s="35">
        <f>MIN('Дашборд и Сводка'!$C$9, ROUNDUP(D62/'Дашборд и Сводка'!$C$6, 0)*0.01)</f>
        <v/>
      </c>
      <c r="F62" s="46">
        <f>'Дашборд и Сводка'!$C$7</f>
        <v/>
      </c>
      <c r="G62" s="34">
        <f>E62*F62*'Дашборд и Сводка'!$C$8</f>
        <v/>
      </c>
      <c r="H62" s="34">
        <f>D62+G62</f>
        <v/>
      </c>
    </row>
    <row r="63" ht="20" customHeight="1">
      <c r="A63" s="28" t="inlineStr">
        <is>
          <t>Февраль</t>
        </is>
      </c>
      <c r="B63" s="28" t="n">
        <v>54</v>
      </c>
      <c r="C63" s="28" t="n">
        <v>23</v>
      </c>
      <c r="D63" s="29">
        <f>H62</f>
        <v/>
      </c>
      <c r="E63" s="30">
        <f>MIN('Дашборд и Сводка'!$C$9, ROUNDUP(D63/'Дашборд и Сводка'!$C$6, 0)*0.01)</f>
        <v/>
      </c>
      <c r="F63" s="45">
        <f>'Дашборд и Сводка'!$C$7</f>
        <v/>
      </c>
      <c r="G63" s="29">
        <f>E63*F63*'Дашборд и Сводка'!$C$8</f>
        <v/>
      </c>
      <c r="H63" s="29">
        <f>D63+G63</f>
        <v/>
      </c>
    </row>
    <row r="64" ht="20" customHeight="1">
      <c r="A64" s="33" t="inlineStr">
        <is>
          <t>Февраль</t>
        </is>
      </c>
      <c r="B64" s="33" t="n">
        <v>55</v>
      </c>
      <c r="C64" s="33" t="n">
        <v>24</v>
      </c>
      <c r="D64" s="34">
        <f>H63</f>
        <v/>
      </c>
      <c r="E64" s="35">
        <f>MIN('Дашборд и Сводка'!$C$9, ROUNDUP(D64/'Дашборд и Сводка'!$C$6, 0)*0.01)</f>
        <v/>
      </c>
      <c r="F64" s="46">
        <f>'Дашборд и Сводка'!$C$7</f>
        <v/>
      </c>
      <c r="G64" s="34">
        <f>E64*F64*'Дашборд и Сводка'!$C$8</f>
        <v/>
      </c>
      <c r="H64" s="34">
        <f>D64+G64</f>
        <v/>
      </c>
    </row>
    <row r="65" ht="20" customHeight="1">
      <c r="A65" s="28" t="inlineStr">
        <is>
          <t>Февраль</t>
        </is>
      </c>
      <c r="B65" s="28" t="n">
        <v>56</v>
      </c>
      <c r="C65" s="28" t="n">
        <v>25</v>
      </c>
      <c r="D65" s="29">
        <f>H64</f>
        <v/>
      </c>
      <c r="E65" s="30">
        <f>MIN('Дашборд и Сводка'!$C$9, ROUNDUP(D65/'Дашборд и Сводка'!$C$6, 0)*0.01)</f>
        <v/>
      </c>
      <c r="F65" s="45">
        <f>'Дашборд и Сводка'!$C$7</f>
        <v/>
      </c>
      <c r="G65" s="29">
        <f>E65*F65*'Дашборд и Сводка'!$C$8</f>
        <v/>
      </c>
      <c r="H65" s="29">
        <f>D65+G65</f>
        <v/>
      </c>
    </row>
    <row r="66" ht="20" customHeight="1">
      <c r="A66" s="33" t="inlineStr">
        <is>
          <t>Февраль</t>
        </is>
      </c>
      <c r="B66" s="33" t="n">
        <v>57</v>
      </c>
      <c r="C66" s="33" t="n">
        <v>26</v>
      </c>
      <c r="D66" s="34">
        <f>H65</f>
        <v/>
      </c>
      <c r="E66" s="35">
        <f>MIN('Дашборд и Сводка'!$C$9, ROUNDUP(D66/'Дашборд и Сводка'!$C$6, 0)*0.01)</f>
        <v/>
      </c>
      <c r="F66" s="46">
        <f>'Дашборд и Сводка'!$C$7</f>
        <v/>
      </c>
      <c r="G66" s="34">
        <f>E66*F66*'Дашборд и Сводка'!$C$8</f>
        <v/>
      </c>
      <c r="H66" s="34">
        <f>D66+G66</f>
        <v/>
      </c>
    </row>
    <row r="67" ht="20" customHeight="1">
      <c r="A67" s="28" t="inlineStr">
        <is>
          <t>Февраль</t>
        </is>
      </c>
      <c r="B67" s="28" t="n">
        <v>58</v>
      </c>
      <c r="C67" s="28" t="n">
        <v>27</v>
      </c>
      <c r="D67" s="29">
        <f>H66</f>
        <v/>
      </c>
      <c r="E67" s="30">
        <f>MIN('Дашборд и Сводка'!$C$9, ROUNDUP(D67/'Дашборд и Сводка'!$C$6, 0)*0.01)</f>
        <v/>
      </c>
      <c r="F67" s="45">
        <f>'Дашборд и Сводка'!$C$7</f>
        <v/>
      </c>
      <c r="G67" s="29">
        <f>E67*F67*'Дашборд и Сводка'!$C$8</f>
        <v/>
      </c>
      <c r="H67" s="29">
        <f>D67+G67</f>
        <v/>
      </c>
    </row>
    <row r="68" ht="20" customHeight="1">
      <c r="A68" s="33" t="inlineStr">
        <is>
          <t>Февраль</t>
        </is>
      </c>
      <c r="B68" s="33" t="n">
        <v>59</v>
      </c>
      <c r="C68" s="33" t="n">
        <v>28</v>
      </c>
      <c r="D68" s="34">
        <f>H67</f>
        <v/>
      </c>
      <c r="E68" s="35">
        <f>MIN('Дашборд и Сводка'!$C$9, ROUNDUP(D68/'Дашборд и Сводка'!$C$6, 0)*0.01)</f>
        <v/>
      </c>
      <c r="F68" s="46">
        <f>'Дашборд и Сводка'!$C$7</f>
        <v/>
      </c>
      <c r="G68" s="34">
        <f>E68*F68*'Дашборд и Сводка'!$C$8</f>
        <v/>
      </c>
      <c r="H68" s="34">
        <f>D68+G68</f>
        <v/>
      </c>
    </row>
    <row r="69" ht="24" customHeight="1">
      <c r="A69" s="56" t="inlineStr">
        <is>
          <t>ИТОГО ЗА ФЕВРАЛЬ:</t>
        </is>
      </c>
      <c r="B69" s="48" t="n"/>
      <c r="C69" s="48" t="n"/>
      <c r="D69" s="57">
        <f>D41</f>
        <v/>
      </c>
      <c r="E69" s="58">
        <f>MAX(E41:E68)</f>
        <v/>
      </c>
      <c r="F69" s="59">
        <f>'Дашборд и Сводка'!$C$7</f>
        <v/>
      </c>
      <c r="G69" s="60">
        <f>SUM(G41:G68)</f>
        <v/>
      </c>
      <c r="H69" s="61">
        <f>H68</f>
        <v/>
      </c>
    </row>
    <row r="71" ht="26" customHeight="1">
      <c r="A71" s="55" t="inlineStr">
        <is>
          <t>МЕСЯЦ 3: МАРТ (31 торговых дней)</t>
        </is>
      </c>
    </row>
    <row r="72" ht="24" customHeight="1">
      <c r="A72" s="44" t="inlineStr">
        <is>
          <t>Месяц</t>
        </is>
      </c>
      <c r="B72" s="44" t="inlineStr">
        <is>
          <t>День года</t>
        </is>
      </c>
      <c r="C72" s="44" t="inlineStr">
        <is>
          <t>День месяца</t>
        </is>
      </c>
      <c r="D72" s="44" t="inlineStr">
        <is>
          <t>Начальный депозит ($)</t>
        </is>
      </c>
      <c r="E72" s="44" t="inlineStr">
        <is>
          <t>Размер лота</t>
        </is>
      </c>
      <c r="F72" s="44" t="inlineStr">
        <is>
          <t>Цель (пунктов)</t>
        </is>
      </c>
      <c r="G72" s="44" t="inlineStr">
        <is>
          <t>Прибыль за день ($)</t>
        </is>
      </c>
      <c r="H72" s="44" t="inlineStr">
        <is>
          <t>Итоговый баланс ($)</t>
        </is>
      </c>
    </row>
    <row r="73" ht="20" customHeight="1">
      <c r="A73" s="28" t="inlineStr">
        <is>
          <t>Март</t>
        </is>
      </c>
      <c r="B73" s="28" t="n">
        <v>60</v>
      </c>
      <c r="C73" s="28" t="n">
        <v>1</v>
      </c>
      <c r="D73" s="29">
        <f>H68</f>
        <v/>
      </c>
      <c r="E73" s="30">
        <f>MIN('Дашборд и Сводка'!$C$9, ROUNDUP(D73/'Дашборд и Сводка'!$C$6, 0)*0.01)</f>
        <v/>
      </c>
      <c r="F73" s="45">
        <f>'Дашборд и Сводка'!$C$7</f>
        <v/>
      </c>
      <c r="G73" s="29">
        <f>E73*F73*'Дашборд и Сводка'!$C$8</f>
        <v/>
      </c>
      <c r="H73" s="29">
        <f>D73+G73</f>
        <v/>
      </c>
    </row>
    <row r="74" ht="20" customHeight="1">
      <c r="A74" s="33" t="inlineStr">
        <is>
          <t>Март</t>
        </is>
      </c>
      <c r="B74" s="33" t="n">
        <v>61</v>
      </c>
      <c r="C74" s="33" t="n">
        <v>2</v>
      </c>
      <c r="D74" s="34">
        <f>H73</f>
        <v/>
      </c>
      <c r="E74" s="35">
        <f>MIN('Дашборд и Сводка'!$C$9, ROUNDUP(D74/'Дашборд и Сводка'!$C$6, 0)*0.01)</f>
        <v/>
      </c>
      <c r="F74" s="46">
        <f>'Дашборд и Сводка'!$C$7</f>
        <v/>
      </c>
      <c r="G74" s="34">
        <f>E74*F74*'Дашборд и Сводка'!$C$8</f>
        <v/>
      </c>
      <c r="H74" s="34">
        <f>D74+G74</f>
        <v/>
      </c>
    </row>
    <row r="75" ht="20" customHeight="1">
      <c r="A75" s="28" t="inlineStr">
        <is>
          <t>Март</t>
        </is>
      </c>
      <c r="B75" s="28" t="n">
        <v>62</v>
      </c>
      <c r="C75" s="28" t="n">
        <v>3</v>
      </c>
      <c r="D75" s="29">
        <f>H74</f>
        <v/>
      </c>
      <c r="E75" s="30">
        <f>MIN('Дашборд и Сводка'!$C$9, ROUNDUP(D75/'Дашборд и Сводка'!$C$6, 0)*0.01)</f>
        <v/>
      </c>
      <c r="F75" s="45">
        <f>'Дашборд и Сводка'!$C$7</f>
        <v/>
      </c>
      <c r="G75" s="29">
        <f>E75*F75*'Дашборд и Сводка'!$C$8</f>
        <v/>
      </c>
      <c r="H75" s="29">
        <f>D75+G75</f>
        <v/>
      </c>
    </row>
    <row r="76" ht="20" customHeight="1">
      <c r="A76" s="33" t="inlineStr">
        <is>
          <t>Март</t>
        </is>
      </c>
      <c r="B76" s="33" t="n">
        <v>63</v>
      </c>
      <c r="C76" s="33" t="n">
        <v>4</v>
      </c>
      <c r="D76" s="34">
        <f>H75</f>
        <v/>
      </c>
      <c r="E76" s="35">
        <f>MIN('Дашборд и Сводка'!$C$9, ROUNDUP(D76/'Дашборд и Сводка'!$C$6, 0)*0.01)</f>
        <v/>
      </c>
      <c r="F76" s="46">
        <f>'Дашборд и Сводка'!$C$7</f>
        <v/>
      </c>
      <c r="G76" s="34">
        <f>E76*F76*'Дашборд и Сводка'!$C$8</f>
        <v/>
      </c>
      <c r="H76" s="34">
        <f>D76+G76</f>
        <v/>
      </c>
    </row>
    <row r="77" ht="20" customHeight="1">
      <c r="A77" s="28" t="inlineStr">
        <is>
          <t>Март</t>
        </is>
      </c>
      <c r="B77" s="28" t="n">
        <v>64</v>
      </c>
      <c r="C77" s="28" t="n">
        <v>5</v>
      </c>
      <c r="D77" s="29">
        <f>H76</f>
        <v/>
      </c>
      <c r="E77" s="30">
        <f>MIN('Дашборд и Сводка'!$C$9, ROUNDUP(D77/'Дашборд и Сводка'!$C$6, 0)*0.01)</f>
        <v/>
      </c>
      <c r="F77" s="45">
        <f>'Дашборд и Сводка'!$C$7</f>
        <v/>
      </c>
      <c r="G77" s="29">
        <f>E77*F77*'Дашборд и Сводка'!$C$8</f>
        <v/>
      </c>
      <c r="H77" s="29">
        <f>D77+G77</f>
        <v/>
      </c>
    </row>
    <row r="78" ht="20" customHeight="1">
      <c r="A78" s="33" t="inlineStr">
        <is>
          <t>Март</t>
        </is>
      </c>
      <c r="B78" s="33" t="n">
        <v>65</v>
      </c>
      <c r="C78" s="33" t="n">
        <v>6</v>
      </c>
      <c r="D78" s="34">
        <f>H77</f>
        <v/>
      </c>
      <c r="E78" s="35">
        <f>MIN('Дашборд и Сводка'!$C$9, ROUNDUP(D78/'Дашборд и Сводка'!$C$6, 0)*0.01)</f>
        <v/>
      </c>
      <c r="F78" s="46">
        <f>'Дашборд и Сводка'!$C$7</f>
        <v/>
      </c>
      <c r="G78" s="34">
        <f>E78*F78*'Дашборд и Сводка'!$C$8</f>
        <v/>
      </c>
      <c r="H78" s="34">
        <f>D78+G78</f>
        <v/>
      </c>
    </row>
    <row r="79" ht="20" customHeight="1">
      <c r="A79" s="28" t="inlineStr">
        <is>
          <t>Март</t>
        </is>
      </c>
      <c r="B79" s="28" t="n">
        <v>66</v>
      </c>
      <c r="C79" s="28" t="n">
        <v>7</v>
      </c>
      <c r="D79" s="29">
        <f>H78</f>
        <v/>
      </c>
      <c r="E79" s="30">
        <f>MIN('Дашборд и Сводка'!$C$9, ROUNDUP(D79/'Дашборд и Сводка'!$C$6, 0)*0.01)</f>
        <v/>
      </c>
      <c r="F79" s="45">
        <f>'Дашборд и Сводка'!$C$7</f>
        <v/>
      </c>
      <c r="G79" s="29">
        <f>E79*F79*'Дашборд и Сводка'!$C$8</f>
        <v/>
      </c>
      <c r="H79" s="29">
        <f>D79+G79</f>
        <v/>
      </c>
    </row>
    <row r="80" ht="20" customHeight="1">
      <c r="A80" s="33" t="inlineStr">
        <is>
          <t>Март</t>
        </is>
      </c>
      <c r="B80" s="33" t="n">
        <v>67</v>
      </c>
      <c r="C80" s="33" t="n">
        <v>8</v>
      </c>
      <c r="D80" s="34">
        <f>H79</f>
        <v/>
      </c>
      <c r="E80" s="35">
        <f>MIN('Дашборд и Сводка'!$C$9, ROUNDUP(D80/'Дашборд и Сводка'!$C$6, 0)*0.01)</f>
        <v/>
      </c>
      <c r="F80" s="46">
        <f>'Дашборд и Сводка'!$C$7</f>
        <v/>
      </c>
      <c r="G80" s="34">
        <f>E80*F80*'Дашборд и Сводка'!$C$8</f>
        <v/>
      </c>
      <c r="H80" s="34">
        <f>D80+G80</f>
        <v/>
      </c>
    </row>
    <row r="81" ht="20" customHeight="1">
      <c r="A81" s="28" t="inlineStr">
        <is>
          <t>Март</t>
        </is>
      </c>
      <c r="B81" s="28" t="n">
        <v>68</v>
      </c>
      <c r="C81" s="28" t="n">
        <v>9</v>
      </c>
      <c r="D81" s="29">
        <f>H80</f>
        <v/>
      </c>
      <c r="E81" s="30">
        <f>MIN('Дашборд и Сводка'!$C$9, ROUNDUP(D81/'Дашборд и Сводка'!$C$6, 0)*0.01)</f>
        <v/>
      </c>
      <c r="F81" s="45">
        <f>'Дашборд и Сводка'!$C$7</f>
        <v/>
      </c>
      <c r="G81" s="29">
        <f>E81*F81*'Дашборд и Сводка'!$C$8</f>
        <v/>
      </c>
      <c r="H81" s="29">
        <f>D81+G81</f>
        <v/>
      </c>
    </row>
    <row r="82" ht="20" customHeight="1">
      <c r="A82" s="33" t="inlineStr">
        <is>
          <t>Март</t>
        </is>
      </c>
      <c r="B82" s="33" t="n">
        <v>69</v>
      </c>
      <c r="C82" s="33" t="n">
        <v>10</v>
      </c>
      <c r="D82" s="34">
        <f>H81</f>
        <v/>
      </c>
      <c r="E82" s="35">
        <f>MIN('Дашборд и Сводка'!$C$9, ROUNDUP(D82/'Дашборд и Сводка'!$C$6, 0)*0.01)</f>
        <v/>
      </c>
      <c r="F82" s="46">
        <f>'Дашборд и Сводка'!$C$7</f>
        <v/>
      </c>
      <c r="G82" s="34">
        <f>E82*F82*'Дашборд и Сводка'!$C$8</f>
        <v/>
      </c>
      <c r="H82" s="34">
        <f>D82+G82</f>
        <v/>
      </c>
    </row>
    <row r="83" ht="20" customHeight="1">
      <c r="A83" s="28" t="inlineStr">
        <is>
          <t>Март</t>
        </is>
      </c>
      <c r="B83" s="28" t="n">
        <v>70</v>
      </c>
      <c r="C83" s="28" t="n">
        <v>11</v>
      </c>
      <c r="D83" s="29">
        <f>H82</f>
        <v/>
      </c>
      <c r="E83" s="30">
        <f>MIN('Дашборд и Сводка'!$C$9, ROUNDUP(D83/'Дашборд и Сводка'!$C$6, 0)*0.01)</f>
        <v/>
      </c>
      <c r="F83" s="45">
        <f>'Дашборд и Сводка'!$C$7</f>
        <v/>
      </c>
      <c r="G83" s="29">
        <f>E83*F83*'Дашборд и Сводка'!$C$8</f>
        <v/>
      </c>
      <c r="H83" s="29">
        <f>D83+G83</f>
        <v/>
      </c>
    </row>
    <row r="84" ht="20" customHeight="1">
      <c r="A84" s="33" t="inlineStr">
        <is>
          <t>Март</t>
        </is>
      </c>
      <c r="B84" s="33" t="n">
        <v>71</v>
      </c>
      <c r="C84" s="33" t="n">
        <v>12</v>
      </c>
      <c r="D84" s="34">
        <f>H83</f>
        <v/>
      </c>
      <c r="E84" s="35">
        <f>MIN('Дашборд и Сводка'!$C$9, ROUNDUP(D84/'Дашборд и Сводка'!$C$6, 0)*0.01)</f>
        <v/>
      </c>
      <c r="F84" s="46">
        <f>'Дашборд и Сводка'!$C$7</f>
        <v/>
      </c>
      <c r="G84" s="34">
        <f>E84*F84*'Дашборд и Сводка'!$C$8</f>
        <v/>
      </c>
      <c r="H84" s="34">
        <f>D84+G84</f>
        <v/>
      </c>
    </row>
    <row r="85" ht="20" customHeight="1">
      <c r="A85" s="28" t="inlineStr">
        <is>
          <t>Март</t>
        </is>
      </c>
      <c r="B85" s="28" t="n">
        <v>72</v>
      </c>
      <c r="C85" s="28" t="n">
        <v>13</v>
      </c>
      <c r="D85" s="29">
        <f>H84</f>
        <v/>
      </c>
      <c r="E85" s="30">
        <f>MIN('Дашборд и Сводка'!$C$9, ROUNDUP(D85/'Дашборд и Сводка'!$C$6, 0)*0.01)</f>
        <v/>
      </c>
      <c r="F85" s="45">
        <f>'Дашборд и Сводка'!$C$7</f>
        <v/>
      </c>
      <c r="G85" s="29">
        <f>E85*F85*'Дашборд и Сводка'!$C$8</f>
        <v/>
      </c>
      <c r="H85" s="29">
        <f>D85+G85</f>
        <v/>
      </c>
    </row>
    <row r="86" ht="20" customHeight="1">
      <c r="A86" s="33" t="inlineStr">
        <is>
          <t>Март</t>
        </is>
      </c>
      <c r="B86" s="33" t="n">
        <v>73</v>
      </c>
      <c r="C86" s="33" t="n">
        <v>14</v>
      </c>
      <c r="D86" s="34">
        <f>H85</f>
        <v/>
      </c>
      <c r="E86" s="35">
        <f>MIN('Дашборд и Сводка'!$C$9, ROUNDUP(D86/'Дашборд и Сводка'!$C$6, 0)*0.01)</f>
        <v/>
      </c>
      <c r="F86" s="46">
        <f>'Дашборд и Сводка'!$C$7</f>
        <v/>
      </c>
      <c r="G86" s="34">
        <f>E86*F86*'Дашборд и Сводка'!$C$8</f>
        <v/>
      </c>
      <c r="H86" s="34">
        <f>D86+G86</f>
        <v/>
      </c>
    </row>
    <row r="87" ht="20" customHeight="1">
      <c r="A87" s="28" t="inlineStr">
        <is>
          <t>Март</t>
        </is>
      </c>
      <c r="B87" s="28" t="n">
        <v>74</v>
      </c>
      <c r="C87" s="28" t="n">
        <v>15</v>
      </c>
      <c r="D87" s="29">
        <f>H86</f>
        <v/>
      </c>
      <c r="E87" s="30">
        <f>MIN('Дашборд и Сводка'!$C$9, ROUNDUP(D87/'Дашборд и Сводка'!$C$6, 0)*0.01)</f>
        <v/>
      </c>
      <c r="F87" s="45">
        <f>'Дашборд и Сводка'!$C$7</f>
        <v/>
      </c>
      <c r="G87" s="29">
        <f>E87*F87*'Дашборд и Сводка'!$C$8</f>
        <v/>
      </c>
      <c r="H87" s="29">
        <f>D87+G87</f>
        <v/>
      </c>
    </row>
    <row r="88" ht="20" customHeight="1">
      <c r="A88" s="33" t="inlineStr">
        <is>
          <t>Март</t>
        </is>
      </c>
      <c r="B88" s="33" t="n">
        <v>75</v>
      </c>
      <c r="C88" s="33" t="n">
        <v>16</v>
      </c>
      <c r="D88" s="34">
        <f>H87</f>
        <v/>
      </c>
      <c r="E88" s="35">
        <f>MIN('Дашборд и Сводка'!$C$9, ROUNDUP(D88/'Дашборд и Сводка'!$C$6, 0)*0.01)</f>
        <v/>
      </c>
      <c r="F88" s="46">
        <f>'Дашборд и Сводка'!$C$7</f>
        <v/>
      </c>
      <c r="G88" s="34">
        <f>E88*F88*'Дашборд и Сводка'!$C$8</f>
        <v/>
      </c>
      <c r="H88" s="34">
        <f>D88+G88</f>
        <v/>
      </c>
    </row>
    <row r="89" ht="20" customHeight="1">
      <c r="A89" s="28" t="inlineStr">
        <is>
          <t>Март</t>
        </is>
      </c>
      <c r="B89" s="28" t="n">
        <v>76</v>
      </c>
      <c r="C89" s="28" t="n">
        <v>17</v>
      </c>
      <c r="D89" s="29">
        <f>H88</f>
        <v/>
      </c>
      <c r="E89" s="30">
        <f>MIN('Дашборд и Сводка'!$C$9, ROUNDUP(D89/'Дашборд и Сводка'!$C$6, 0)*0.01)</f>
        <v/>
      </c>
      <c r="F89" s="45">
        <f>'Дашборд и Сводка'!$C$7</f>
        <v/>
      </c>
      <c r="G89" s="29">
        <f>E89*F89*'Дашборд и Сводка'!$C$8</f>
        <v/>
      </c>
      <c r="H89" s="29">
        <f>D89+G89</f>
        <v/>
      </c>
    </row>
    <row r="90" ht="20" customHeight="1">
      <c r="A90" s="33" t="inlineStr">
        <is>
          <t>Март</t>
        </is>
      </c>
      <c r="B90" s="33" t="n">
        <v>77</v>
      </c>
      <c r="C90" s="33" t="n">
        <v>18</v>
      </c>
      <c r="D90" s="34">
        <f>H89</f>
        <v/>
      </c>
      <c r="E90" s="35">
        <f>MIN('Дашборд и Сводка'!$C$9, ROUNDUP(D90/'Дашборд и Сводка'!$C$6, 0)*0.01)</f>
        <v/>
      </c>
      <c r="F90" s="46">
        <f>'Дашборд и Сводка'!$C$7</f>
        <v/>
      </c>
      <c r="G90" s="34">
        <f>E90*F90*'Дашборд и Сводка'!$C$8</f>
        <v/>
      </c>
      <c r="H90" s="34">
        <f>D90+G90</f>
        <v/>
      </c>
    </row>
    <row r="91" ht="20" customHeight="1">
      <c r="A91" s="28" t="inlineStr">
        <is>
          <t>Март</t>
        </is>
      </c>
      <c r="B91" s="28" t="n">
        <v>78</v>
      </c>
      <c r="C91" s="28" t="n">
        <v>19</v>
      </c>
      <c r="D91" s="29">
        <f>H90</f>
        <v/>
      </c>
      <c r="E91" s="30">
        <f>MIN('Дашборд и Сводка'!$C$9, ROUNDUP(D91/'Дашборд и Сводка'!$C$6, 0)*0.01)</f>
        <v/>
      </c>
      <c r="F91" s="45">
        <f>'Дашборд и Сводка'!$C$7</f>
        <v/>
      </c>
      <c r="G91" s="29">
        <f>E91*F91*'Дашборд и Сводка'!$C$8</f>
        <v/>
      </c>
      <c r="H91" s="29">
        <f>D91+G91</f>
        <v/>
      </c>
    </row>
    <row r="92" ht="20" customHeight="1">
      <c r="A92" s="33" t="inlineStr">
        <is>
          <t>Март</t>
        </is>
      </c>
      <c r="B92" s="33" t="n">
        <v>79</v>
      </c>
      <c r="C92" s="33" t="n">
        <v>20</v>
      </c>
      <c r="D92" s="34">
        <f>H91</f>
        <v/>
      </c>
      <c r="E92" s="35">
        <f>MIN('Дашборд и Сводка'!$C$9, ROUNDUP(D92/'Дашборд и Сводка'!$C$6, 0)*0.01)</f>
        <v/>
      </c>
      <c r="F92" s="46">
        <f>'Дашборд и Сводка'!$C$7</f>
        <v/>
      </c>
      <c r="G92" s="34">
        <f>E92*F92*'Дашборд и Сводка'!$C$8</f>
        <v/>
      </c>
      <c r="H92" s="34">
        <f>D92+G92</f>
        <v/>
      </c>
    </row>
    <row r="93" ht="20" customHeight="1">
      <c r="A93" s="28" t="inlineStr">
        <is>
          <t>Март</t>
        </is>
      </c>
      <c r="B93" s="28" t="n">
        <v>80</v>
      </c>
      <c r="C93" s="28" t="n">
        <v>21</v>
      </c>
      <c r="D93" s="29">
        <f>H92</f>
        <v/>
      </c>
      <c r="E93" s="30">
        <f>MIN('Дашборд и Сводка'!$C$9, ROUNDUP(D93/'Дашборд и Сводка'!$C$6, 0)*0.01)</f>
        <v/>
      </c>
      <c r="F93" s="45">
        <f>'Дашборд и Сводка'!$C$7</f>
        <v/>
      </c>
      <c r="G93" s="29">
        <f>E93*F93*'Дашборд и Сводка'!$C$8</f>
        <v/>
      </c>
      <c r="H93" s="29">
        <f>D93+G93</f>
        <v/>
      </c>
    </row>
    <row r="94" ht="20" customHeight="1">
      <c r="A94" s="33" t="inlineStr">
        <is>
          <t>Март</t>
        </is>
      </c>
      <c r="B94" s="33" t="n">
        <v>81</v>
      </c>
      <c r="C94" s="33" t="n">
        <v>22</v>
      </c>
      <c r="D94" s="34">
        <f>H93</f>
        <v/>
      </c>
      <c r="E94" s="35">
        <f>MIN('Дашборд и Сводка'!$C$9, ROUNDUP(D94/'Дашборд и Сводка'!$C$6, 0)*0.01)</f>
        <v/>
      </c>
      <c r="F94" s="46">
        <f>'Дашборд и Сводка'!$C$7</f>
        <v/>
      </c>
      <c r="G94" s="34">
        <f>E94*F94*'Дашборд и Сводка'!$C$8</f>
        <v/>
      </c>
      <c r="H94" s="34">
        <f>D94+G94</f>
        <v/>
      </c>
    </row>
    <row r="95" ht="20" customHeight="1">
      <c r="A95" s="28" t="inlineStr">
        <is>
          <t>Март</t>
        </is>
      </c>
      <c r="B95" s="28" t="n">
        <v>82</v>
      </c>
      <c r="C95" s="28" t="n">
        <v>23</v>
      </c>
      <c r="D95" s="29">
        <f>H94</f>
        <v/>
      </c>
      <c r="E95" s="30">
        <f>MIN('Дашборд и Сводка'!$C$9, ROUNDUP(D95/'Дашборд и Сводка'!$C$6, 0)*0.01)</f>
        <v/>
      </c>
      <c r="F95" s="45">
        <f>'Дашборд и Сводка'!$C$7</f>
        <v/>
      </c>
      <c r="G95" s="29">
        <f>E95*F95*'Дашборд и Сводка'!$C$8</f>
        <v/>
      </c>
      <c r="H95" s="29">
        <f>D95+G95</f>
        <v/>
      </c>
    </row>
    <row r="96" ht="20" customHeight="1">
      <c r="A96" s="33" t="inlineStr">
        <is>
          <t>Март</t>
        </is>
      </c>
      <c r="B96" s="33" t="n">
        <v>83</v>
      </c>
      <c r="C96" s="33" t="n">
        <v>24</v>
      </c>
      <c r="D96" s="34">
        <f>H95</f>
        <v/>
      </c>
      <c r="E96" s="35">
        <f>MIN('Дашборд и Сводка'!$C$9, ROUNDUP(D96/'Дашборд и Сводка'!$C$6, 0)*0.01)</f>
        <v/>
      </c>
      <c r="F96" s="46">
        <f>'Дашборд и Сводка'!$C$7</f>
        <v/>
      </c>
      <c r="G96" s="34">
        <f>E96*F96*'Дашборд и Сводка'!$C$8</f>
        <v/>
      </c>
      <c r="H96" s="34">
        <f>D96+G96</f>
        <v/>
      </c>
    </row>
    <row r="97" ht="20" customHeight="1">
      <c r="A97" s="28" t="inlineStr">
        <is>
          <t>Март</t>
        </is>
      </c>
      <c r="B97" s="28" t="n">
        <v>84</v>
      </c>
      <c r="C97" s="28" t="n">
        <v>25</v>
      </c>
      <c r="D97" s="29">
        <f>H96</f>
        <v/>
      </c>
      <c r="E97" s="30">
        <f>MIN('Дашборд и Сводка'!$C$9, ROUNDUP(D97/'Дашборд и Сводка'!$C$6, 0)*0.01)</f>
        <v/>
      </c>
      <c r="F97" s="45">
        <f>'Дашборд и Сводка'!$C$7</f>
        <v/>
      </c>
      <c r="G97" s="29">
        <f>E97*F97*'Дашборд и Сводка'!$C$8</f>
        <v/>
      </c>
      <c r="H97" s="29">
        <f>D97+G97</f>
        <v/>
      </c>
    </row>
    <row r="98" ht="20" customHeight="1">
      <c r="A98" s="33" t="inlineStr">
        <is>
          <t>Март</t>
        </is>
      </c>
      <c r="B98" s="33" t="n">
        <v>85</v>
      </c>
      <c r="C98" s="33" t="n">
        <v>26</v>
      </c>
      <c r="D98" s="34">
        <f>H97</f>
        <v/>
      </c>
      <c r="E98" s="35">
        <f>MIN('Дашборд и Сводка'!$C$9, ROUNDUP(D98/'Дашборд и Сводка'!$C$6, 0)*0.01)</f>
        <v/>
      </c>
      <c r="F98" s="46">
        <f>'Дашборд и Сводка'!$C$7</f>
        <v/>
      </c>
      <c r="G98" s="34">
        <f>E98*F98*'Дашборд и Сводка'!$C$8</f>
        <v/>
      </c>
      <c r="H98" s="34">
        <f>D98+G98</f>
        <v/>
      </c>
    </row>
    <row r="99" ht="20" customHeight="1">
      <c r="A99" s="28" t="inlineStr">
        <is>
          <t>Март</t>
        </is>
      </c>
      <c r="B99" s="28" t="n">
        <v>86</v>
      </c>
      <c r="C99" s="28" t="n">
        <v>27</v>
      </c>
      <c r="D99" s="29">
        <f>H98</f>
        <v/>
      </c>
      <c r="E99" s="30">
        <f>MIN('Дашборд и Сводка'!$C$9, ROUNDUP(D99/'Дашборд и Сводка'!$C$6, 0)*0.01)</f>
        <v/>
      </c>
      <c r="F99" s="45">
        <f>'Дашборд и Сводка'!$C$7</f>
        <v/>
      </c>
      <c r="G99" s="29">
        <f>E99*F99*'Дашборд и Сводка'!$C$8</f>
        <v/>
      </c>
      <c r="H99" s="29">
        <f>D99+G99</f>
        <v/>
      </c>
    </row>
    <row r="100" ht="20" customHeight="1">
      <c r="A100" s="33" t="inlineStr">
        <is>
          <t>Март</t>
        </is>
      </c>
      <c r="B100" s="33" t="n">
        <v>87</v>
      </c>
      <c r="C100" s="33" t="n">
        <v>28</v>
      </c>
      <c r="D100" s="34">
        <f>H99</f>
        <v/>
      </c>
      <c r="E100" s="35">
        <f>MIN('Дашборд и Сводка'!$C$9, ROUNDUP(D100/'Дашборд и Сводка'!$C$6, 0)*0.01)</f>
        <v/>
      </c>
      <c r="F100" s="46">
        <f>'Дашборд и Сводка'!$C$7</f>
        <v/>
      </c>
      <c r="G100" s="34">
        <f>E100*F100*'Дашборд и Сводка'!$C$8</f>
        <v/>
      </c>
      <c r="H100" s="34">
        <f>D100+G100</f>
        <v/>
      </c>
    </row>
    <row r="101" ht="20" customHeight="1">
      <c r="A101" s="28" t="inlineStr">
        <is>
          <t>Март</t>
        </is>
      </c>
      <c r="B101" s="28" t="n">
        <v>88</v>
      </c>
      <c r="C101" s="28" t="n">
        <v>29</v>
      </c>
      <c r="D101" s="29">
        <f>H100</f>
        <v/>
      </c>
      <c r="E101" s="30">
        <f>MIN('Дашборд и Сводка'!$C$9, ROUNDUP(D101/'Дашборд и Сводка'!$C$6, 0)*0.01)</f>
        <v/>
      </c>
      <c r="F101" s="45">
        <f>'Дашборд и Сводка'!$C$7</f>
        <v/>
      </c>
      <c r="G101" s="29">
        <f>E101*F101*'Дашборд и Сводка'!$C$8</f>
        <v/>
      </c>
      <c r="H101" s="29">
        <f>D101+G101</f>
        <v/>
      </c>
    </row>
    <row r="102" ht="20" customHeight="1">
      <c r="A102" s="33" t="inlineStr">
        <is>
          <t>Март</t>
        </is>
      </c>
      <c r="B102" s="33" t="n">
        <v>89</v>
      </c>
      <c r="C102" s="33" t="n">
        <v>30</v>
      </c>
      <c r="D102" s="34">
        <f>H101</f>
        <v/>
      </c>
      <c r="E102" s="35">
        <f>MIN('Дашборд и Сводка'!$C$9, ROUNDUP(D102/'Дашборд и Сводка'!$C$6, 0)*0.01)</f>
        <v/>
      </c>
      <c r="F102" s="46">
        <f>'Дашборд и Сводка'!$C$7</f>
        <v/>
      </c>
      <c r="G102" s="34">
        <f>E102*F102*'Дашборд и Сводка'!$C$8</f>
        <v/>
      </c>
      <c r="H102" s="34">
        <f>D102+G102</f>
        <v/>
      </c>
    </row>
    <row r="103" ht="20" customHeight="1">
      <c r="A103" s="28" t="inlineStr">
        <is>
          <t>Март</t>
        </is>
      </c>
      <c r="B103" s="28" t="n">
        <v>90</v>
      </c>
      <c r="C103" s="28" t="n">
        <v>31</v>
      </c>
      <c r="D103" s="29">
        <f>H102</f>
        <v/>
      </c>
      <c r="E103" s="30">
        <f>MIN('Дашборд и Сводка'!$C$9, ROUNDUP(D103/'Дашборд и Сводка'!$C$6, 0)*0.01)</f>
        <v/>
      </c>
      <c r="F103" s="45">
        <f>'Дашборд и Сводка'!$C$7</f>
        <v/>
      </c>
      <c r="G103" s="29">
        <f>E103*F103*'Дашборд и Сводка'!$C$8</f>
        <v/>
      </c>
      <c r="H103" s="29">
        <f>D103+G103</f>
        <v/>
      </c>
    </row>
    <row r="104" ht="24" customHeight="1">
      <c r="A104" s="56" t="inlineStr">
        <is>
          <t>ИТОГО ЗА МАРТ:</t>
        </is>
      </c>
      <c r="B104" s="48" t="n"/>
      <c r="C104" s="48" t="n"/>
      <c r="D104" s="57">
        <f>D73</f>
        <v/>
      </c>
      <c r="E104" s="58">
        <f>MAX(E73:E103)</f>
        <v/>
      </c>
      <c r="F104" s="59">
        <f>'Дашборд и Сводка'!$C$7</f>
        <v/>
      </c>
      <c r="G104" s="60">
        <f>SUM(G73:G103)</f>
        <v/>
      </c>
      <c r="H104" s="61">
        <f>H103</f>
        <v/>
      </c>
    </row>
    <row r="106" ht="26" customHeight="1">
      <c r="A106" s="55" t="inlineStr">
        <is>
          <t>МЕСЯЦ 4: АПРЕЛЬ (30 торговых дней)</t>
        </is>
      </c>
    </row>
    <row r="107" ht="24" customHeight="1">
      <c r="A107" s="44" t="inlineStr">
        <is>
          <t>Месяц</t>
        </is>
      </c>
      <c r="B107" s="44" t="inlineStr">
        <is>
          <t>День года</t>
        </is>
      </c>
      <c r="C107" s="44" t="inlineStr">
        <is>
          <t>День месяца</t>
        </is>
      </c>
      <c r="D107" s="44" t="inlineStr">
        <is>
          <t>Начальный депозит ($)</t>
        </is>
      </c>
      <c r="E107" s="44" t="inlineStr">
        <is>
          <t>Размер лота</t>
        </is>
      </c>
      <c r="F107" s="44" t="inlineStr">
        <is>
          <t>Цель (пунктов)</t>
        </is>
      </c>
      <c r="G107" s="44" t="inlineStr">
        <is>
          <t>Прибыль за день ($)</t>
        </is>
      </c>
      <c r="H107" s="44" t="inlineStr">
        <is>
          <t>Итоговый баланс ($)</t>
        </is>
      </c>
    </row>
    <row r="108" ht="20" customHeight="1">
      <c r="A108" s="28" t="inlineStr">
        <is>
          <t>Апрель</t>
        </is>
      </c>
      <c r="B108" s="28" t="n">
        <v>91</v>
      </c>
      <c r="C108" s="28" t="n">
        <v>1</v>
      </c>
      <c r="D108" s="29">
        <f>H103</f>
        <v/>
      </c>
      <c r="E108" s="30">
        <f>MIN('Дашборд и Сводка'!$C$9, ROUNDUP(D108/'Дашборд и Сводка'!$C$6, 0)*0.01)</f>
        <v/>
      </c>
      <c r="F108" s="45">
        <f>'Дашборд и Сводка'!$C$7</f>
        <v/>
      </c>
      <c r="G108" s="29">
        <f>E108*F108*'Дашборд и Сводка'!$C$8</f>
        <v/>
      </c>
      <c r="H108" s="29">
        <f>D108+G108</f>
        <v/>
      </c>
    </row>
    <row r="109" ht="20" customHeight="1">
      <c r="A109" s="33" t="inlineStr">
        <is>
          <t>Апрель</t>
        </is>
      </c>
      <c r="B109" s="33" t="n">
        <v>92</v>
      </c>
      <c r="C109" s="33" t="n">
        <v>2</v>
      </c>
      <c r="D109" s="34">
        <f>H108</f>
        <v/>
      </c>
      <c r="E109" s="35">
        <f>MIN('Дашборд и Сводка'!$C$9, ROUNDUP(D109/'Дашборд и Сводка'!$C$6, 0)*0.01)</f>
        <v/>
      </c>
      <c r="F109" s="46">
        <f>'Дашборд и Сводка'!$C$7</f>
        <v/>
      </c>
      <c r="G109" s="34">
        <f>E109*F109*'Дашборд и Сводка'!$C$8</f>
        <v/>
      </c>
      <c r="H109" s="34">
        <f>D109+G109</f>
        <v/>
      </c>
    </row>
    <row r="110" ht="20" customHeight="1">
      <c r="A110" s="28" t="inlineStr">
        <is>
          <t>Апрель</t>
        </is>
      </c>
      <c r="B110" s="28" t="n">
        <v>93</v>
      </c>
      <c r="C110" s="28" t="n">
        <v>3</v>
      </c>
      <c r="D110" s="29">
        <f>H109</f>
        <v/>
      </c>
      <c r="E110" s="30">
        <f>MIN('Дашборд и Сводка'!$C$9, ROUNDUP(D110/'Дашборд и Сводка'!$C$6, 0)*0.01)</f>
        <v/>
      </c>
      <c r="F110" s="45">
        <f>'Дашборд и Сводка'!$C$7</f>
        <v/>
      </c>
      <c r="G110" s="29">
        <f>E110*F110*'Дашборд и Сводка'!$C$8</f>
        <v/>
      </c>
      <c r="H110" s="29">
        <f>D110+G110</f>
        <v/>
      </c>
    </row>
    <row r="111" ht="20" customHeight="1">
      <c r="A111" s="33" t="inlineStr">
        <is>
          <t>Апрель</t>
        </is>
      </c>
      <c r="B111" s="33" t="n">
        <v>94</v>
      </c>
      <c r="C111" s="33" t="n">
        <v>4</v>
      </c>
      <c r="D111" s="34">
        <f>H110</f>
        <v/>
      </c>
      <c r="E111" s="35">
        <f>MIN('Дашборд и Сводка'!$C$9, ROUNDUP(D111/'Дашборд и Сводка'!$C$6, 0)*0.01)</f>
        <v/>
      </c>
      <c r="F111" s="46">
        <f>'Дашборд и Сводка'!$C$7</f>
        <v/>
      </c>
      <c r="G111" s="34">
        <f>E111*F111*'Дашборд и Сводка'!$C$8</f>
        <v/>
      </c>
      <c r="H111" s="34">
        <f>D111+G111</f>
        <v/>
      </c>
    </row>
    <row r="112" ht="20" customHeight="1">
      <c r="A112" s="28" t="inlineStr">
        <is>
          <t>Апрель</t>
        </is>
      </c>
      <c r="B112" s="28" t="n">
        <v>95</v>
      </c>
      <c r="C112" s="28" t="n">
        <v>5</v>
      </c>
      <c r="D112" s="29">
        <f>H111</f>
        <v/>
      </c>
      <c r="E112" s="30">
        <f>MIN('Дашборд и Сводка'!$C$9, ROUNDUP(D112/'Дашборд и Сводка'!$C$6, 0)*0.01)</f>
        <v/>
      </c>
      <c r="F112" s="45">
        <f>'Дашборд и Сводка'!$C$7</f>
        <v/>
      </c>
      <c r="G112" s="29">
        <f>E112*F112*'Дашборд и Сводка'!$C$8</f>
        <v/>
      </c>
      <c r="H112" s="29">
        <f>D112+G112</f>
        <v/>
      </c>
    </row>
    <row r="113" ht="20" customHeight="1">
      <c r="A113" s="33" t="inlineStr">
        <is>
          <t>Апрель</t>
        </is>
      </c>
      <c r="B113" s="33" t="n">
        <v>96</v>
      </c>
      <c r="C113" s="33" t="n">
        <v>6</v>
      </c>
      <c r="D113" s="34">
        <f>H112</f>
        <v/>
      </c>
      <c r="E113" s="35">
        <f>MIN('Дашборд и Сводка'!$C$9, ROUNDUP(D113/'Дашборд и Сводка'!$C$6, 0)*0.01)</f>
        <v/>
      </c>
      <c r="F113" s="46">
        <f>'Дашборд и Сводка'!$C$7</f>
        <v/>
      </c>
      <c r="G113" s="34">
        <f>E113*F113*'Дашборд и Сводка'!$C$8</f>
        <v/>
      </c>
      <c r="H113" s="34">
        <f>D113+G113</f>
        <v/>
      </c>
    </row>
    <row r="114" ht="20" customHeight="1">
      <c r="A114" s="28" t="inlineStr">
        <is>
          <t>Апрель</t>
        </is>
      </c>
      <c r="B114" s="28" t="n">
        <v>97</v>
      </c>
      <c r="C114" s="28" t="n">
        <v>7</v>
      </c>
      <c r="D114" s="29">
        <f>H113</f>
        <v/>
      </c>
      <c r="E114" s="30">
        <f>MIN('Дашборд и Сводка'!$C$9, ROUNDUP(D114/'Дашборд и Сводка'!$C$6, 0)*0.01)</f>
        <v/>
      </c>
      <c r="F114" s="45">
        <f>'Дашборд и Сводка'!$C$7</f>
        <v/>
      </c>
      <c r="G114" s="29">
        <f>E114*F114*'Дашборд и Сводка'!$C$8</f>
        <v/>
      </c>
      <c r="H114" s="29">
        <f>D114+G114</f>
        <v/>
      </c>
    </row>
    <row r="115" ht="20" customHeight="1">
      <c r="A115" s="33" t="inlineStr">
        <is>
          <t>Апрель</t>
        </is>
      </c>
      <c r="B115" s="33" t="n">
        <v>98</v>
      </c>
      <c r="C115" s="33" t="n">
        <v>8</v>
      </c>
      <c r="D115" s="34">
        <f>H114</f>
        <v/>
      </c>
      <c r="E115" s="35">
        <f>MIN('Дашборд и Сводка'!$C$9, ROUNDUP(D115/'Дашборд и Сводка'!$C$6, 0)*0.01)</f>
        <v/>
      </c>
      <c r="F115" s="46">
        <f>'Дашборд и Сводка'!$C$7</f>
        <v/>
      </c>
      <c r="G115" s="34">
        <f>E115*F115*'Дашборд и Сводка'!$C$8</f>
        <v/>
      </c>
      <c r="H115" s="34">
        <f>D115+G115</f>
        <v/>
      </c>
    </row>
    <row r="116" ht="20" customHeight="1">
      <c r="A116" s="28" t="inlineStr">
        <is>
          <t>Апрель</t>
        </is>
      </c>
      <c r="B116" s="28" t="n">
        <v>99</v>
      </c>
      <c r="C116" s="28" t="n">
        <v>9</v>
      </c>
      <c r="D116" s="29">
        <f>H115</f>
        <v/>
      </c>
      <c r="E116" s="30">
        <f>MIN('Дашборд и Сводка'!$C$9, ROUNDUP(D116/'Дашборд и Сводка'!$C$6, 0)*0.01)</f>
        <v/>
      </c>
      <c r="F116" s="45">
        <f>'Дашборд и Сводка'!$C$7</f>
        <v/>
      </c>
      <c r="G116" s="29">
        <f>E116*F116*'Дашборд и Сводка'!$C$8</f>
        <v/>
      </c>
      <c r="H116" s="29">
        <f>D116+G116</f>
        <v/>
      </c>
    </row>
    <row r="117" ht="20" customHeight="1">
      <c r="A117" s="33" t="inlineStr">
        <is>
          <t>Апрель</t>
        </is>
      </c>
      <c r="B117" s="33" t="n">
        <v>100</v>
      </c>
      <c r="C117" s="33" t="n">
        <v>10</v>
      </c>
      <c r="D117" s="34">
        <f>H116</f>
        <v/>
      </c>
      <c r="E117" s="35">
        <f>MIN('Дашборд и Сводка'!$C$9, ROUNDUP(D117/'Дашборд и Сводка'!$C$6, 0)*0.01)</f>
        <v/>
      </c>
      <c r="F117" s="46">
        <f>'Дашборд и Сводка'!$C$7</f>
        <v/>
      </c>
      <c r="G117" s="34">
        <f>E117*F117*'Дашборд и Сводка'!$C$8</f>
        <v/>
      </c>
      <c r="H117" s="34">
        <f>D117+G117</f>
        <v/>
      </c>
    </row>
    <row r="118" ht="20" customHeight="1">
      <c r="A118" s="28" t="inlineStr">
        <is>
          <t>Апрель</t>
        </is>
      </c>
      <c r="B118" s="28" t="n">
        <v>101</v>
      </c>
      <c r="C118" s="28" t="n">
        <v>11</v>
      </c>
      <c r="D118" s="29">
        <f>H117</f>
        <v/>
      </c>
      <c r="E118" s="30">
        <f>MIN('Дашборд и Сводка'!$C$9, ROUNDUP(D118/'Дашборд и Сводка'!$C$6, 0)*0.01)</f>
        <v/>
      </c>
      <c r="F118" s="45">
        <f>'Дашборд и Сводка'!$C$7</f>
        <v/>
      </c>
      <c r="G118" s="29">
        <f>E118*F118*'Дашборд и Сводка'!$C$8</f>
        <v/>
      </c>
      <c r="H118" s="29">
        <f>D118+G118</f>
        <v/>
      </c>
    </row>
    <row r="119" ht="20" customHeight="1">
      <c r="A119" s="33" t="inlineStr">
        <is>
          <t>Апрель</t>
        </is>
      </c>
      <c r="B119" s="33" t="n">
        <v>102</v>
      </c>
      <c r="C119" s="33" t="n">
        <v>12</v>
      </c>
      <c r="D119" s="34">
        <f>H118</f>
        <v/>
      </c>
      <c r="E119" s="35">
        <f>MIN('Дашборд и Сводка'!$C$9, ROUNDUP(D119/'Дашборд и Сводка'!$C$6, 0)*0.01)</f>
        <v/>
      </c>
      <c r="F119" s="46">
        <f>'Дашборд и Сводка'!$C$7</f>
        <v/>
      </c>
      <c r="G119" s="34">
        <f>E119*F119*'Дашборд и Сводка'!$C$8</f>
        <v/>
      </c>
      <c r="H119" s="34">
        <f>D119+G119</f>
        <v/>
      </c>
    </row>
    <row r="120" ht="20" customHeight="1">
      <c r="A120" s="28" t="inlineStr">
        <is>
          <t>Апрель</t>
        </is>
      </c>
      <c r="B120" s="28" t="n">
        <v>103</v>
      </c>
      <c r="C120" s="28" t="n">
        <v>13</v>
      </c>
      <c r="D120" s="29">
        <f>H119</f>
        <v/>
      </c>
      <c r="E120" s="30">
        <f>MIN('Дашборд и Сводка'!$C$9, ROUNDUP(D120/'Дашборд и Сводка'!$C$6, 0)*0.01)</f>
        <v/>
      </c>
      <c r="F120" s="45">
        <f>'Дашборд и Сводка'!$C$7</f>
        <v/>
      </c>
      <c r="G120" s="29">
        <f>E120*F120*'Дашборд и Сводка'!$C$8</f>
        <v/>
      </c>
      <c r="H120" s="29">
        <f>D120+G120</f>
        <v/>
      </c>
    </row>
    <row r="121" ht="20" customHeight="1">
      <c r="A121" s="33" t="inlineStr">
        <is>
          <t>Апрель</t>
        </is>
      </c>
      <c r="B121" s="33" t="n">
        <v>104</v>
      </c>
      <c r="C121" s="33" t="n">
        <v>14</v>
      </c>
      <c r="D121" s="34">
        <f>H120</f>
        <v/>
      </c>
      <c r="E121" s="35">
        <f>MIN('Дашборд и Сводка'!$C$9, ROUNDUP(D121/'Дашборд и Сводка'!$C$6, 0)*0.01)</f>
        <v/>
      </c>
      <c r="F121" s="46">
        <f>'Дашборд и Сводка'!$C$7</f>
        <v/>
      </c>
      <c r="G121" s="34">
        <f>E121*F121*'Дашборд и Сводка'!$C$8</f>
        <v/>
      </c>
      <c r="H121" s="34">
        <f>D121+G121</f>
        <v/>
      </c>
    </row>
    <row r="122" ht="20" customHeight="1">
      <c r="A122" s="28" t="inlineStr">
        <is>
          <t>Апрель</t>
        </is>
      </c>
      <c r="B122" s="28" t="n">
        <v>105</v>
      </c>
      <c r="C122" s="28" t="n">
        <v>15</v>
      </c>
      <c r="D122" s="29">
        <f>H121</f>
        <v/>
      </c>
      <c r="E122" s="30">
        <f>MIN('Дашборд и Сводка'!$C$9, ROUNDUP(D122/'Дашборд и Сводка'!$C$6, 0)*0.01)</f>
        <v/>
      </c>
      <c r="F122" s="45">
        <f>'Дашборд и Сводка'!$C$7</f>
        <v/>
      </c>
      <c r="G122" s="29">
        <f>E122*F122*'Дашборд и Сводка'!$C$8</f>
        <v/>
      </c>
      <c r="H122" s="29">
        <f>D122+G122</f>
        <v/>
      </c>
    </row>
    <row r="123" ht="20" customHeight="1">
      <c r="A123" s="33" t="inlineStr">
        <is>
          <t>Апрель</t>
        </is>
      </c>
      <c r="B123" s="33" t="n">
        <v>106</v>
      </c>
      <c r="C123" s="33" t="n">
        <v>16</v>
      </c>
      <c r="D123" s="34">
        <f>H122</f>
        <v/>
      </c>
      <c r="E123" s="35">
        <f>MIN('Дашборд и Сводка'!$C$9, ROUNDUP(D123/'Дашборд и Сводка'!$C$6, 0)*0.01)</f>
        <v/>
      </c>
      <c r="F123" s="46">
        <f>'Дашборд и Сводка'!$C$7</f>
        <v/>
      </c>
      <c r="G123" s="34">
        <f>E123*F123*'Дашборд и Сводка'!$C$8</f>
        <v/>
      </c>
      <c r="H123" s="34">
        <f>D123+G123</f>
        <v/>
      </c>
    </row>
    <row r="124" ht="20" customHeight="1">
      <c r="A124" s="28" t="inlineStr">
        <is>
          <t>Апрель</t>
        </is>
      </c>
      <c r="B124" s="28" t="n">
        <v>107</v>
      </c>
      <c r="C124" s="28" t="n">
        <v>17</v>
      </c>
      <c r="D124" s="29">
        <f>H123</f>
        <v/>
      </c>
      <c r="E124" s="30">
        <f>MIN('Дашборд и Сводка'!$C$9, ROUNDUP(D124/'Дашборд и Сводка'!$C$6, 0)*0.01)</f>
        <v/>
      </c>
      <c r="F124" s="45">
        <f>'Дашборд и Сводка'!$C$7</f>
        <v/>
      </c>
      <c r="G124" s="29">
        <f>E124*F124*'Дашборд и Сводка'!$C$8</f>
        <v/>
      </c>
      <c r="H124" s="29">
        <f>D124+G124</f>
        <v/>
      </c>
    </row>
    <row r="125" ht="20" customHeight="1">
      <c r="A125" s="33" t="inlineStr">
        <is>
          <t>Апрель</t>
        </is>
      </c>
      <c r="B125" s="33" t="n">
        <v>108</v>
      </c>
      <c r="C125" s="33" t="n">
        <v>18</v>
      </c>
      <c r="D125" s="34">
        <f>H124</f>
        <v/>
      </c>
      <c r="E125" s="35">
        <f>MIN('Дашборд и Сводка'!$C$9, ROUNDUP(D125/'Дашборд и Сводка'!$C$6, 0)*0.01)</f>
        <v/>
      </c>
      <c r="F125" s="46">
        <f>'Дашборд и Сводка'!$C$7</f>
        <v/>
      </c>
      <c r="G125" s="34">
        <f>E125*F125*'Дашборд и Сводка'!$C$8</f>
        <v/>
      </c>
      <c r="H125" s="34">
        <f>D125+G125</f>
        <v/>
      </c>
    </row>
    <row r="126" ht="20" customHeight="1">
      <c r="A126" s="28" t="inlineStr">
        <is>
          <t>Апрель</t>
        </is>
      </c>
      <c r="B126" s="28" t="n">
        <v>109</v>
      </c>
      <c r="C126" s="28" t="n">
        <v>19</v>
      </c>
      <c r="D126" s="29">
        <f>H125</f>
        <v/>
      </c>
      <c r="E126" s="30">
        <f>MIN('Дашборд и Сводка'!$C$9, ROUNDUP(D126/'Дашборд и Сводка'!$C$6, 0)*0.01)</f>
        <v/>
      </c>
      <c r="F126" s="45">
        <f>'Дашборд и Сводка'!$C$7</f>
        <v/>
      </c>
      <c r="G126" s="29">
        <f>E126*F126*'Дашборд и Сводка'!$C$8</f>
        <v/>
      </c>
      <c r="H126" s="29">
        <f>D126+G126</f>
        <v/>
      </c>
    </row>
    <row r="127" ht="20" customHeight="1">
      <c r="A127" s="33" t="inlineStr">
        <is>
          <t>Апрель</t>
        </is>
      </c>
      <c r="B127" s="33" t="n">
        <v>110</v>
      </c>
      <c r="C127" s="33" t="n">
        <v>20</v>
      </c>
      <c r="D127" s="34">
        <f>H126</f>
        <v/>
      </c>
      <c r="E127" s="35">
        <f>MIN('Дашборд и Сводка'!$C$9, ROUNDUP(D127/'Дашборд и Сводка'!$C$6, 0)*0.01)</f>
        <v/>
      </c>
      <c r="F127" s="46">
        <f>'Дашборд и Сводка'!$C$7</f>
        <v/>
      </c>
      <c r="G127" s="34">
        <f>E127*F127*'Дашборд и Сводка'!$C$8</f>
        <v/>
      </c>
      <c r="H127" s="34">
        <f>D127+G127</f>
        <v/>
      </c>
    </row>
    <row r="128" ht="20" customHeight="1">
      <c r="A128" s="28" t="inlineStr">
        <is>
          <t>Апрель</t>
        </is>
      </c>
      <c r="B128" s="28" t="n">
        <v>111</v>
      </c>
      <c r="C128" s="28" t="n">
        <v>21</v>
      </c>
      <c r="D128" s="29">
        <f>H127</f>
        <v/>
      </c>
      <c r="E128" s="30">
        <f>MIN('Дашборд и Сводка'!$C$9, ROUNDUP(D128/'Дашборд и Сводка'!$C$6, 0)*0.01)</f>
        <v/>
      </c>
      <c r="F128" s="45">
        <f>'Дашборд и Сводка'!$C$7</f>
        <v/>
      </c>
      <c r="G128" s="29">
        <f>E128*F128*'Дашборд и Сводка'!$C$8</f>
        <v/>
      </c>
      <c r="H128" s="29">
        <f>D128+G128</f>
        <v/>
      </c>
    </row>
    <row r="129" ht="20" customHeight="1">
      <c r="A129" s="33" t="inlineStr">
        <is>
          <t>Апрель</t>
        </is>
      </c>
      <c r="B129" s="33" t="n">
        <v>112</v>
      </c>
      <c r="C129" s="33" t="n">
        <v>22</v>
      </c>
      <c r="D129" s="34">
        <f>H128</f>
        <v/>
      </c>
      <c r="E129" s="35">
        <f>MIN('Дашборд и Сводка'!$C$9, ROUNDUP(D129/'Дашборд и Сводка'!$C$6, 0)*0.01)</f>
        <v/>
      </c>
      <c r="F129" s="46">
        <f>'Дашборд и Сводка'!$C$7</f>
        <v/>
      </c>
      <c r="G129" s="34">
        <f>E129*F129*'Дашборд и Сводка'!$C$8</f>
        <v/>
      </c>
      <c r="H129" s="34">
        <f>D129+G129</f>
        <v/>
      </c>
    </row>
    <row r="130" ht="20" customHeight="1">
      <c r="A130" s="28" t="inlineStr">
        <is>
          <t>Апрель</t>
        </is>
      </c>
      <c r="B130" s="28" t="n">
        <v>113</v>
      </c>
      <c r="C130" s="28" t="n">
        <v>23</v>
      </c>
      <c r="D130" s="29">
        <f>H129</f>
        <v/>
      </c>
      <c r="E130" s="30">
        <f>MIN('Дашборд и Сводка'!$C$9, ROUNDUP(D130/'Дашборд и Сводка'!$C$6, 0)*0.01)</f>
        <v/>
      </c>
      <c r="F130" s="45">
        <f>'Дашборд и Сводка'!$C$7</f>
        <v/>
      </c>
      <c r="G130" s="29">
        <f>E130*F130*'Дашборд и Сводка'!$C$8</f>
        <v/>
      </c>
      <c r="H130" s="29">
        <f>D130+G130</f>
        <v/>
      </c>
    </row>
    <row r="131" ht="20" customHeight="1">
      <c r="A131" s="33" t="inlineStr">
        <is>
          <t>Апрель</t>
        </is>
      </c>
      <c r="B131" s="33" t="n">
        <v>114</v>
      </c>
      <c r="C131" s="33" t="n">
        <v>24</v>
      </c>
      <c r="D131" s="34">
        <f>H130</f>
        <v/>
      </c>
      <c r="E131" s="35">
        <f>MIN('Дашборд и Сводка'!$C$9, ROUNDUP(D131/'Дашборд и Сводка'!$C$6, 0)*0.01)</f>
        <v/>
      </c>
      <c r="F131" s="46">
        <f>'Дашборд и Сводка'!$C$7</f>
        <v/>
      </c>
      <c r="G131" s="34">
        <f>E131*F131*'Дашборд и Сводка'!$C$8</f>
        <v/>
      </c>
      <c r="H131" s="34">
        <f>D131+G131</f>
        <v/>
      </c>
    </row>
    <row r="132" ht="20" customHeight="1">
      <c r="A132" s="28" t="inlineStr">
        <is>
          <t>Апрель</t>
        </is>
      </c>
      <c r="B132" s="28" t="n">
        <v>115</v>
      </c>
      <c r="C132" s="28" t="n">
        <v>25</v>
      </c>
      <c r="D132" s="29">
        <f>H131</f>
        <v/>
      </c>
      <c r="E132" s="30">
        <f>MIN('Дашборд и Сводка'!$C$9, ROUNDUP(D132/'Дашборд и Сводка'!$C$6, 0)*0.01)</f>
        <v/>
      </c>
      <c r="F132" s="45">
        <f>'Дашборд и Сводка'!$C$7</f>
        <v/>
      </c>
      <c r="G132" s="29">
        <f>E132*F132*'Дашборд и Сводка'!$C$8</f>
        <v/>
      </c>
      <c r="H132" s="29">
        <f>D132+G132</f>
        <v/>
      </c>
    </row>
    <row r="133" ht="20" customHeight="1">
      <c r="A133" s="33" t="inlineStr">
        <is>
          <t>Апрель</t>
        </is>
      </c>
      <c r="B133" s="33" t="n">
        <v>116</v>
      </c>
      <c r="C133" s="33" t="n">
        <v>26</v>
      </c>
      <c r="D133" s="34">
        <f>H132</f>
        <v/>
      </c>
      <c r="E133" s="35">
        <f>MIN('Дашборд и Сводка'!$C$9, ROUNDUP(D133/'Дашборд и Сводка'!$C$6, 0)*0.01)</f>
        <v/>
      </c>
      <c r="F133" s="46">
        <f>'Дашборд и Сводка'!$C$7</f>
        <v/>
      </c>
      <c r="G133" s="34">
        <f>E133*F133*'Дашборд и Сводка'!$C$8</f>
        <v/>
      </c>
      <c r="H133" s="34">
        <f>D133+G133</f>
        <v/>
      </c>
    </row>
    <row r="134" ht="20" customHeight="1">
      <c r="A134" s="28" t="inlineStr">
        <is>
          <t>Апрель</t>
        </is>
      </c>
      <c r="B134" s="28" t="n">
        <v>117</v>
      </c>
      <c r="C134" s="28" t="n">
        <v>27</v>
      </c>
      <c r="D134" s="29">
        <f>H133</f>
        <v/>
      </c>
      <c r="E134" s="30">
        <f>MIN('Дашборд и Сводка'!$C$9, ROUNDUP(D134/'Дашборд и Сводка'!$C$6, 0)*0.01)</f>
        <v/>
      </c>
      <c r="F134" s="45">
        <f>'Дашборд и Сводка'!$C$7</f>
        <v/>
      </c>
      <c r="G134" s="29">
        <f>E134*F134*'Дашборд и Сводка'!$C$8</f>
        <v/>
      </c>
      <c r="H134" s="29">
        <f>D134+G134</f>
        <v/>
      </c>
    </row>
    <row r="135" ht="20" customHeight="1">
      <c r="A135" s="33" t="inlineStr">
        <is>
          <t>Апрель</t>
        </is>
      </c>
      <c r="B135" s="33" t="n">
        <v>118</v>
      </c>
      <c r="C135" s="33" t="n">
        <v>28</v>
      </c>
      <c r="D135" s="34">
        <f>H134</f>
        <v/>
      </c>
      <c r="E135" s="35">
        <f>MIN('Дашборд и Сводка'!$C$9, ROUNDUP(D135/'Дашборд и Сводка'!$C$6, 0)*0.01)</f>
        <v/>
      </c>
      <c r="F135" s="46">
        <f>'Дашборд и Сводка'!$C$7</f>
        <v/>
      </c>
      <c r="G135" s="34">
        <f>E135*F135*'Дашборд и Сводка'!$C$8</f>
        <v/>
      </c>
      <c r="H135" s="34">
        <f>D135+G135</f>
        <v/>
      </c>
    </row>
    <row r="136" ht="20" customHeight="1">
      <c r="A136" s="28" t="inlineStr">
        <is>
          <t>Апрель</t>
        </is>
      </c>
      <c r="B136" s="28" t="n">
        <v>119</v>
      </c>
      <c r="C136" s="28" t="n">
        <v>29</v>
      </c>
      <c r="D136" s="29">
        <f>H135</f>
        <v/>
      </c>
      <c r="E136" s="30">
        <f>MIN('Дашборд и Сводка'!$C$9, ROUNDUP(D136/'Дашборд и Сводка'!$C$6, 0)*0.01)</f>
        <v/>
      </c>
      <c r="F136" s="45">
        <f>'Дашборд и Сводка'!$C$7</f>
        <v/>
      </c>
      <c r="G136" s="29">
        <f>E136*F136*'Дашборд и Сводка'!$C$8</f>
        <v/>
      </c>
      <c r="H136" s="29">
        <f>D136+G136</f>
        <v/>
      </c>
    </row>
    <row r="137" ht="20" customHeight="1">
      <c r="A137" s="33" t="inlineStr">
        <is>
          <t>Апрель</t>
        </is>
      </c>
      <c r="B137" s="33" t="n">
        <v>120</v>
      </c>
      <c r="C137" s="33" t="n">
        <v>30</v>
      </c>
      <c r="D137" s="34">
        <f>H136</f>
        <v/>
      </c>
      <c r="E137" s="35">
        <f>MIN('Дашборд и Сводка'!$C$9, ROUNDUP(D137/'Дашборд и Сводка'!$C$6, 0)*0.01)</f>
        <v/>
      </c>
      <c r="F137" s="46">
        <f>'Дашборд и Сводка'!$C$7</f>
        <v/>
      </c>
      <c r="G137" s="34">
        <f>E137*F137*'Дашборд и Сводка'!$C$8</f>
        <v/>
      </c>
      <c r="H137" s="34">
        <f>D137+G137</f>
        <v/>
      </c>
    </row>
    <row r="138" ht="24" customHeight="1">
      <c r="A138" s="56" t="inlineStr">
        <is>
          <t>ИТОГО ЗА АПРЕЛЬ:</t>
        </is>
      </c>
      <c r="B138" s="48" t="n"/>
      <c r="C138" s="48" t="n"/>
      <c r="D138" s="57">
        <f>D108</f>
        <v/>
      </c>
      <c r="E138" s="58">
        <f>MAX(E108:E137)</f>
        <v/>
      </c>
      <c r="F138" s="59">
        <f>'Дашборд и Сводка'!$C$7</f>
        <v/>
      </c>
      <c r="G138" s="60">
        <f>SUM(G108:G137)</f>
        <v/>
      </c>
      <c r="H138" s="61">
        <f>H137</f>
        <v/>
      </c>
    </row>
    <row r="140" ht="26" customHeight="1">
      <c r="A140" s="55" t="inlineStr">
        <is>
          <t>МЕСЯЦ 5: МАЙ (31 торговых дней)</t>
        </is>
      </c>
    </row>
    <row r="141" ht="24" customHeight="1">
      <c r="A141" s="44" t="inlineStr">
        <is>
          <t>Месяц</t>
        </is>
      </c>
      <c r="B141" s="44" t="inlineStr">
        <is>
          <t>День года</t>
        </is>
      </c>
      <c r="C141" s="44" t="inlineStr">
        <is>
          <t>День месяца</t>
        </is>
      </c>
      <c r="D141" s="44" t="inlineStr">
        <is>
          <t>Начальный депозит ($)</t>
        </is>
      </c>
      <c r="E141" s="44" t="inlineStr">
        <is>
          <t>Размер лота</t>
        </is>
      </c>
      <c r="F141" s="44" t="inlineStr">
        <is>
          <t>Цель (пунктов)</t>
        </is>
      </c>
      <c r="G141" s="44" t="inlineStr">
        <is>
          <t>Прибыль за день ($)</t>
        </is>
      </c>
      <c r="H141" s="44" t="inlineStr">
        <is>
          <t>Итоговый баланс ($)</t>
        </is>
      </c>
    </row>
    <row r="142" ht="20" customHeight="1">
      <c r="A142" s="28" t="inlineStr">
        <is>
          <t>Май</t>
        </is>
      </c>
      <c r="B142" s="28" t="n">
        <v>121</v>
      </c>
      <c r="C142" s="28" t="n">
        <v>1</v>
      </c>
      <c r="D142" s="29">
        <f>H137</f>
        <v/>
      </c>
      <c r="E142" s="30">
        <f>MIN('Дашборд и Сводка'!$C$9, ROUNDUP(D142/'Дашборд и Сводка'!$C$6, 0)*0.01)</f>
        <v/>
      </c>
      <c r="F142" s="45">
        <f>'Дашборд и Сводка'!$C$7</f>
        <v/>
      </c>
      <c r="G142" s="29">
        <f>E142*F142*'Дашборд и Сводка'!$C$8</f>
        <v/>
      </c>
      <c r="H142" s="29">
        <f>D142+G142</f>
        <v/>
      </c>
    </row>
    <row r="143" ht="20" customHeight="1">
      <c r="A143" s="33" t="inlineStr">
        <is>
          <t>Май</t>
        </is>
      </c>
      <c r="B143" s="33" t="n">
        <v>122</v>
      </c>
      <c r="C143" s="33" t="n">
        <v>2</v>
      </c>
      <c r="D143" s="34">
        <f>H142</f>
        <v/>
      </c>
      <c r="E143" s="35">
        <f>MIN('Дашборд и Сводка'!$C$9, ROUNDUP(D143/'Дашборд и Сводка'!$C$6, 0)*0.01)</f>
        <v/>
      </c>
      <c r="F143" s="46">
        <f>'Дашборд и Сводка'!$C$7</f>
        <v/>
      </c>
      <c r="G143" s="34">
        <f>E143*F143*'Дашборд и Сводка'!$C$8</f>
        <v/>
      </c>
      <c r="H143" s="34">
        <f>D143+G143</f>
        <v/>
      </c>
    </row>
    <row r="144" ht="20" customHeight="1">
      <c r="A144" s="28" t="inlineStr">
        <is>
          <t>Май</t>
        </is>
      </c>
      <c r="B144" s="28" t="n">
        <v>123</v>
      </c>
      <c r="C144" s="28" t="n">
        <v>3</v>
      </c>
      <c r="D144" s="29">
        <f>H143</f>
        <v/>
      </c>
      <c r="E144" s="30">
        <f>MIN('Дашборд и Сводка'!$C$9, ROUNDUP(D144/'Дашборд и Сводка'!$C$6, 0)*0.01)</f>
        <v/>
      </c>
      <c r="F144" s="45">
        <f>'Дашборд и Сводка'!$C$7</f>
        <v/>
      </c>
      <c r="G144" s="29">
        <f>E144*F144*'Дашборд и Сводка'!$C$8</f>
        <v/>
      </c>
      <c r="H144" s="29">
        <f>D144+G144</f>
        <v/>
      </c>
    </row>
    <row r="145" ht="20" customHeight="1">
      <c r="A145" s="33" t="inlineStr">
        <is>
          <t>Май</t>
        </is>
      </c>
      <c r="B145" s="33" t="n">
        <v>124</v>
      </c>
      <c r="C145" s="33" t="n">
        <v>4</v>
      </c>
      <c r="D145" s="34">
        <f>H144</f>
        <v/>
      </c>
      <c r="E145" s="35">
        <f>MIN('Дашборд и Сводка'!$C$9, ROUNDUP(D145/'Дашборд и Сводка'!$C$6, 0)*0.01)</f>
        <v/>
      </c>
      <c r="F145" s="46">
        <f>'Дашборд и Сводка'!$C$7</f>
        <v/>
      </c>
      <c r="G145" s="34">
        <f>E145*F145*'Дашборд и Сводка'!$C$8</f>
        <v/>
      </c>
      <c r="H145" s="34">
        <f>D145+G145</f>
        <v/>
      </c>
    </row>
    <row r="146" ht="20" customHeight="1">
      <c r="A146" s="28" t="inlineStr">
        <is>
          <t>Май</t>
        </is>
      </c>
      <c r="B146" s="28" t="n">
        <v>125</v>
      </c>
      <c r="C146" s="28" t="n">
        <v>5</v>
      </c>
      <c r="D146" s="29">
        <f>H145</f>
        <v/>
      </c>
      <c r="E146" s="30">
        <f>MIN('Дашборд и Сводка'!$C$9, ROUNDUP(D146/'Дашборд и Сводка'!$C$6, 0)*0.01)</f>
        <v/>
      </c>
      <c r="F146" s="45">
        <f>'Дашборд и Сводка'!$C$7</f>
        <v/>
      </c>
      <c r="G146" s="29">
        <f>E146*F146*'Дашборд и Сводка'!$C$8</f>
        <v/>
      </c>
      <c r="H146" s="29">
        <f>D146+G146</f>
        <v/>
      </c>
    </row>
    <row r="147" ht="20" customHeight="1">
      <c r="A147" s="33" t="inlineStr">
        <is>
          <t>Май</t>
        </is>
      </c>
      <c r="B147" s="33" t="n">
        <v>126</v>
      </c>
      <c r="C147" s="33" t="n">
        <v>6</v>
      </c>
      <c r="D147" s="34">
        <f>H146</f>
        <v/>
      </c>
      <c r="E147" s="35">
        <f>MIN('Дашборд и Сводка'!$C$9, ROUNDUP(D147/'Дашборд и Сводка'!$C$6, 0)*0.01)</f>
        <v/>
      </c>
      <c r="F147" s="46">
        <f>'Дашборд и Сводка'!$C$7</f>
        <v/>
      </c>
      <c r="G147" s="34">
        <f>E147*F147*'Дашборд и Сводка'!$C$8</f>
        <v/>
      </c>
      <c r="H147" s="34">
        <f>D147+G147</f>
        <v/>
      </c>
    </row>
    <row r="148" ht="20" customHeight="1">
      <c r="A148" s="28" t="inlineStr">
        <is>
          <t>Май</t>
        </is>
      </c>
      <c r="B148" s="28" t="n">
        <v>127</v>
      </c>
      <c r="C148" s="28" t="n">
        <v>7</v>
      </c>
      <c r="D148" s="29">
        <f>H147</f>
        <v/>
      </c>
      <c r="E148" s="30">
        <f>MIN('Дашборд и Сводка'!$C$9, ROUNDUP(D148/'Дашборд и Сводка'!$C$6, 0)*0.01)</f>
        <v/>
      </c>
      <c r="F148" s="45">
        <f>'Дашборд и Сводка'!$C$7</f>
        <v/>
      </c>
      <c r="G148" s="29">
        <f>E148*F148*'Дашборд и Сводка'!$C$8</f>
        <v/>
      </c>
      <c r="H148" s="29">
        <f>D148+G148</f>
        <v/>
      </c>
    </row>
    <row r="149" ht="20" customHeight="1">
      <c r="A149" s="33" t="inlineStr">
        <is>
          <t>Май</t>
        </is>
      </c>
      <c r="B149" s="33" t="n">
        <v>128</v>
      </c>
      <c r="C149" s="33" t="n">
        <v>8</v>
      </c>
      <c r="D149" s="34">
        <f>H148</f>
        <v/>
      </c>
      <c r="E149" s="35">
        <f>MIN('Дашборд и Сводка'!$C$9, ROUNDUP(D149/'Дашборд и Сводка'!$C$6, 0)*0.01)</f>
        <v/>
      </c>
      <c r="F149" s="46">
        <f>'Дашборд и Сводка'!$C$7</f>
        <v/>
      </c>
      <c r="G149" s="34">
        <f>E149*F149*'Дашборд и Сводка'!$C$8</f>
        <v/>
      </c>
      <c r="H149" s="34">
        <f>D149+G149</f>
        <v/>
      </c>
    </row>
    <row r="150" ht="20" customHeight="1">
      <c r="A150" s="28" t="inlineStr">
        <is>
          <t>Май</t>
        </is>
      </c>
      <c r="B150" s="28" t="n">
        <v>129</v>
      </c>
      <c r="C150" s="28" t="n">
        <v>9</v>
      </c>
      <c r="D150" s="29">
        <f>H149</f>
        <v/>
      </c>
      <c r="E150" s="30">
        <f>MIN('Дашборд и Сводка'!$C$9, ROUNDUP(D150/'Дашборд и Сводка'!$C$6, 0)*0.01)</f>
        <v/>
      </c>
      <c r="F150" s="45">
        <f>'Дашборд и Сводка'!$C$7</f>
        <v/>
      </c>
      <c r="G150" s="29">
        <f>E150*F150*'Дашборд и Сводка'!$C$8</f>
        <v/>
      </c>
      <c r="H150" s="29">
        <f>D150+G150</f>
        <v/>
      </c>
    </row>
    <row r="151" ht="20" customHeight="1">
      <c r="A151" s="33" t="inlineStr">
        <is>
          <t>Май</t>
        </is>
      </c>
      <c r="B151" s="33" t="n">
        <v>130</v>
      </c>
      <c r="C151" s="33" t="n">
        <v>10</v>
      </c>
      <c r="D151" s="34">
        <f>H150</f>
        <v/>
      </c>
      <c r="E151" s="35">
        <f>MIN('Дашборд и Сводка'!$C$9, ROUNDUP(D151/'Дашборд и Сводка'!$C$6, 0)*0.01)</f>
        <v/>
      </c>
      <c r="F151" s="46">
        <f>'Дашборд и Сводка'!$C$7</f>
        <v/>
      </c>
      <c r="G151" s="34">
        <f>E151*F151*'Дашборд и Сводка'!$C$8</f>
        <v/>
      </c>
      <c r="H151" s="34">
        <f>D151+G151</f>
        <v/>
      </c>
    </row>
    <row r="152" ht="20" customHeight="1">
      <c r="A152" s="28" t="inlineStr">
        <is>
          <t>Май</t>
        </is>
      </c>
      <c r="B152" s="28" t="n">
        <v>131</v>
      </c>
      <c r="C152" s="28" t="n">
        <v>11</v>
      </c>
      <c r="D152" s="29">
        <f>H151</f>
        <v/>
      </c>
      <c r="E152" s="30">
        <f>MIN('Дашборд и Сводка'!$C$9, ROUNDUP(D152/'Дашборд и Сводка'!$C$6, 0)*0.01)</f>
        <v/>
      </c>
      <c r="F152" s="45">
        <f>'Дашборд и Сводка'!$C$7</f>
        <v/>
      </c>
      <c r="G152" s="29">
        <f>E152*F152*'Дашборд и Сводка'!$C$8</f>
        <v/>
      </c>
      <c r="H152" s="29">
        <f>D152+G152</f>
        <v/>
      </c>
    </row>
    <row r="153" ht="20" customHeight="1">
      <c r="A153" s="33" t="inlineStr">
        <is>
          <t>Май</t>
        </is>
      </c>
      <c r="B153" s="33" t="n">
        <v>132</v>
      </c>
      <c r="C153" s="33" t="n">
        <v>12</v>
      </c>
      <c r="D153" s="34">
        <f>H152</f>
        <v/>
      </c>
      <c r="E153" s="35">
        <f>MIN('Дашборд и Сводка'!$C$9, ROUNDUP(D153/'Дашборд и Сводка'!$C$6, 0)*0.01)</f>
        <v/>
      </c>
      <c r="F153" s="46">
        <f>'Дашборд и Сводка'!$C$7</f>
        <v/>
      </c>
      <c r="G153" s="34">
        <f>E153*F153*'Дашборд и Сводка'!$C$8</f>
        <v/>
      </c>
      <c r="H153" s="34">
        <f>D153+G153</f>
        <v/>
      </c>
    </row>
    <row r="154" ht="20" customHeight="1">
      <c r="A154" s="28" t="inlineStr">
        <is>
          <t>Май</t>
        </is>
      </c>
      <c r="B154" s="28" t="n">
        <v>133</v>
      </c>
      <c r="C154" s="28" t="n">
        <v>13</v>
      </c>
      <c r="D154" s="29">
        <f>H153</f>
        <v/>
      </c>
      <c r="E154" s="30">
        <f>MIN('Дашборд и Сводка'!$C$9, ROUNDUP(D154/'Дашборд и Сводка'!$C$6, 0)*0.01)</f>
        <v/>
      </c>
      <c r="F154" s="45">
        <f>'Дашборд и Сводка'!$C$7</f>
        <v/>
      </c>
      <c r="G154" s="29">
        <f>E154*F154*'Дашборд и Сводка'!$C$8</f>
        <v/>
      </c>
      <c r="H154" s="29">
        <f>D154+G154</f>
        <v/>
      </c>
    </row>
    <row r="155" ht="20" customHeight="1">
      <c r="A155" s="33" t="inlineStr">
        <is>
          <t>Май</t>
        </is>
      </c>
      <c r="B155" s="33" t="n">
        <v>134</v>
      </c>
      <c r="C155" s="33" t="n">
        <v>14</v>
      </c>
      <c r="D155" s="34">
        <f>H154</f>
        <v/>
      </c>
      <c r="E155" s="35">
        <f>MIN('Дашборд и Сводка'!$C$9, ROUNDUP(D155/'Дашборд и Сводка'!$C$6, 0)*0.01)</f>
        <v/>
      </c>
      <c r="F155" s="46">
        <f>'Дашборд и Сводка'!$C$7</f>
        <v/>
      </c>
      <c r="G155" s="34">
        <f>E155*F155*'Дашборд и Сводка'!$C$8</f>
        <v/>
      </c>
      <c r="H155" s="34">
        <f>D155+G155</f>
        <v/>
      </c>
    </row>
    <row r="156" ht="20" customHeight="1">
      <c r="A156" s="28" t="inlineStr">
        <is>
          <t>Май</t>
        </is>
      </c>
      <c r="B156" s="28" t="n">
        <v>135</v>
      </c>
      <c r="C156" s="28" t="n">
        <v>15</v>
      </c>
      <c r="D156" s="29">
        <f>H155</f>
        <v/>
      </c>
      <c r="E156" s="30">
        <f>MIN('Дашборд и Сводка'!$C$9, ROUNDUP(D156/'Дашборд и Сводка'!$C$6, 0)*0.01)</f>
        <v/>
      </c>
      <c r="F156" s="45">
        <f>'Дашборд и Сводка'!$C$7</f>
        <v/>
      </c>
      <c r="G156" s="29">
        <f>E156*F156*'Дашборд и Сводка'!$C$8</f>
        <v/>
      </c>
      <c r="H156" s="29">
        <f>D156+G156</f>
        <v/>
      </c>
    </row>
    <row r="157" ht="20" customHeight="1">
      <c r="A157" s="33" t="inlineStr">
        <is>
          <t>Май</t>
        </is>
      </c>
      <c r="B157" s="33" t="n">
        <v>136</v>
      </c>
      <c r="C157" s="33" t="n">
        <v>16</v>
      </c>
      <c r="D157" s="34">
        <f>H156</f>
        <v/>
      </c>
      <c r="E157" s="35">
        <f>MIN('Дашборд и Сводка'!$C$9, ROUNDUP(D157/'Дашборд и Сводка'!$C$6, 0)*0.01)</f>
        <v/>
      </c>
      <c r="F157" s="46">
        <f>'Дашборд и Сводка'!$C$7</f>
        <v/>
      </c>
      <c r="G157" s="34">
        <f>E157*F157*'Дашборд и Сводка'!$C$8</f>
        <v/>
      </c>
      <c r="H157" s="34">
        <f>D157+G157</f>
        <v/>
      </c>
    </row>
    <row r="158" ht="20" customHeight="1">
      <c r="A158" s="28" t="inlineStr">
        <is>
          <t>Май</t>
        </is>
      </c>
      <c r="B158" s="28" t="n">
        <v>137</v>
      </c>
      <c r="C158" s="28" t="n">
        <v>17</v>
      </c>
      <c r="D158" s="29">
        <f>H157</f>
        <v/>
      </c>
      <c r="E158" s="30">
        <f>MIN('Дашборд и Сводка'!$C$9, ROUNDUP(D158/'Дашборд и Сводка'!$C$6, 0)*0.01)</f>
        <v/>
      </c>
      <c r="F158" s="45">
        <f>'Дашборд и Сводка'!$C$7</f>
        <v/>
      </c>
      <c r="G158" s="29">
        <f>E158*F158*'Дашборд и Сводка'!$C$8</f>
        <v/>
      </c>
      <c r="H158" s="29">
        <f>D158+G158</f>
        <v/>
      </c>
    </row>
    <row r="159" ht="20" customHeight="1">
      <c r="A159" s="33" t="inlineStr">
        <is>
          <t>Май</t>
        </is>
      </c>
      <c r="B159" s="33" t="n">
        <v>138</v>
      </c>
      <c r="C159" s="33" t="n">
        <v>18</v>
      </c>
      <c r="D159" s="34">
        <f>H158</f>
        <v/>
      </c>
      <c r="E159" s="35">
        <f>MIN('Дашборд и Сводка'!$C$9, ROUNDUP(D159/'Дашборд и Сводка'!$C$6, 0)*0.01)</f>
        <v/>
      </c>
      <c r="F159" s="46">
        <f>'Дашборд и Сводка'!$C$7</f>
        <v/>
      </c>
      <c r="G159" s="34">
        <f>E159*F159*'Дашборд и Сводка'!$C$8</f>
        <v/>
      </c>
      <c r="H159" s="34">
        <f>D159+G159</f>
        <v/>
      </c>
    </row>
    <row r="160" ht="20" customHeight="1">
      <c r="A160" s="28" t="inlineStr">
        <is>
          <t>Май</t>
        </is>
      </c>
      <c r="B160" s="28" t="n">
        <v>139</v>
      </c>
      <c r="C160" s="28" t="n">
        <v>19</v>
      </c>
      <c r="D160" s="29">
        <f>H159</f>
        <v/>
      </c>
      <c r="E160" s="30">
        <f>MIN('Дашборд и Сводка'!$C$9, ROUNDUP(D160/'Дашборд и Сводка'!$C$6, 0)*0.01)</f>
        <v/>
      </c>
      <c r="F160" s="45">
        <f>'Дашборд и Сводка'!$C$7</f>
        <v/>
      </c>
      <c r="G160" s="29">
        <f>E160*F160*'Дашборд и Сводка'!$C$8</f>
        <v/>
      </c>
      <c r="H160" s="29">
        <f>D160+G160</f>
        <v/>
      </c>
    </row>
    <row r="161" ht="20" customHeight="1">
      <c r="A161" s="33" t="inlineStr">
        <is>
          <t>Май</t>
        </is>
      </c>
      <c r="B161" s="33" t="n">
        <v>140</v>
      </c>
      <c r="C161" s="33" t="n">
        <v>20</v>
      </c>
      <c r="D161" s="34">
        <f>H160</f>
        <v/>
      </c>
      <c r="E161" s="35">
        <f>MIN('Дашборд и Сводка'!$C$9, ROUNDUP(D161/'Дашборд и Сводка'!$C$6, 0)*0.01)</f>
        <v/>
      </c>
      <c r="F161" s="46">
        <f>'Дашборд и Сводка'!$C$7</f>
        <v/>
      </c>
      <c r="G161" s="34">
        <f>E161*F161*'Дашборд и Сводка'!$C$8</f>
        <v/>
      </c>
      <c r="H161" s="34">
        <f>D161+G161</f>
        <v/>
      </c>
    </row>
    <row r="162" ht="20" customHeight="1">
      <c r="A162" s="28" t="inlineStr">
        <is>
          <t>Май</t>
        </is>
      </c>
      <c r="B162" s="28" t="n">
        <v>141</v>
      </c>
      <c r="C162" s="28" t="n">
        <v>21</v>
      </c>
      <c r="D162" s="29">
        <f>H161</f>
        <v/>
      </c>
      <c r="E162" s="30">
        <f>MIN('Дашборд и Сводка'!$C$9, ROUNDUP(D162/'Дашборд и Сводка'!$C$6, 0)*0.01)</f>
        <v/>
      </c>
      <c r="F162" s="45">
        <f>'Дашборд и Сводка'!$C$7</f>
        <v/>
      </c>
      <c r="G162" s="29">
        <f>E162*F162*'Дашборд и Сводка'!$C$8</f>
        <v/>
      </c>
      <c r="H162" s="29">
        <f>D162+G162</f>
        <v/>
      </c>
    </row>
    <row r="163" ht="20" customHeight="1">
      <c r="A163" s="33" t="inlineStr">
        <is>
          <t>Май</t>
        </is>
      </c>
      <c r="B163" s="33" t="n">
        <v>142</v>
      </c>
      <c r="C163" s="33" t="n">
        <v>22</v>
      </c>
      <c r="D163" s="34">
        <f>H162</f>
        <v/>
      </c>
      <c r="E163" s="35">
        <f>MIN('Дашборд и Сводка'!$C$9, ROUNDUP(D163/'Дашборд и Сводка'!$C$6, 0)*0.01)</f>
        <v/>
      </c>
      <c r="F163" s="46">
        <f>'Дашборд и Сводка'!$C$7</f>
        <v/>
      </c>
      <c r="G163" s="34">
        <f>E163*F163*'Дашборд и Сводка'!$C$8</f>
        <v/>
      </c>
      <c r="H163" s="34">
        <f>D163+G163</f>
        <v/>
      </c>
    </row>
    <row r="164" ht="20" customHeight="1">
      <c r="A164" s="28" t="inlineStr">
        <is>
          <t>Май</t>
        </is>
      </c>
      <c r="B164" s="28" t="n">
        <v>143</v>
      </c>
      <c r="C164" s="28" t="n">
        <v>23</v>
      </c>
      <c r="D164" s="29">
        <f>H163</f>
        <v/>
      </c>
      <c r="E164" s="30">
        <f>MIN('Дашборд и Сводка'!$C$9, ROUNDUP(D164/'Дашборд и Сводка'!$C$6, 0)*0.01)</f>
        <v/>
      </c>
      <c r="F164" s="45">
        <f>'Дашборд и Сводка'!$C$7</f>
        <v/>
      </c>
      <c r="G164" s="29">
        <f>E164*F164*'Дашборд и Сводка'!$C$8</f>
        <v/>
      </c>
      <c r="H164" s="29">
        <f>D164+G164</f>
        <v/>
      </c>
    </row>
    <row r="165" ht="20" customHeight="1">
      <c r="A165" s="33" t="inlineStr">
        <is>
          <t>Май</t>
        </is>
      </c>
      <c r="B165" s="33" t="n">
        <v>144</v>
      </c>
      <c r="C165" s="33" t="n">
        <v>24</v>
      </c>
      <c r="D165" s="34">
        <f>H164</f>
        <v/>
      </c>
      <c r="E165" s="35">
        <f>MIN('Дашборд и Сводка'!$C$9, ROUNDUP(D165/'Дашборд и Сводка'!$C$6, 0)*0.01)</f>
        <v/>
      </c>
      <c r="F165" s="46">
        <f>'Дашборд и Сводка'!$C$7</f>
        <v/>
      </c>
      <c r="G165" s="34">
        <f>E165*F165*'Дашборд и Сводка'!$C$8</f>
        <v/>
      </c>
      <c r="H165" s="34">
        <f>D165+G165</f>
        <v/>
      </c>
    </row>
    <row r="166" ht="20" customHeight="1">
      <c r="A166" s="28" t="inlineStr">
        <is>
          <t>Май</t>
        </is>
      </c>
      <c r="B166" s="28" t="n">
        <v>145</v>
      </c>
      <c r="C166" s="28" t="n">
        <v>25</v>
      </c>
      <c r="D166" s="29">
        <f>H165</f>
        <v/>
      </c>
      <c r="E166" s="30">
        <f>MIN('Дашборд и Сводка'!$C$9, ROUNDUP(D166/'Дашборд и Сводка'!$C$6, 0)*0.01)</f>
        <v/>
      </c>
      <c r="F166" s="45">
        <f>'Дашборд и Сводка'!$C$7</f>
        <v/>
      </c>
      <c r="G166" s="29">
        <f>E166*F166*'Дашборд и Сводка'!$C$8</f>
        <v/>
      </c>
      <c r="H166" s="29">
        <f>D166+G166</f>
        <v/>
      </c>
    </row>
    <row r="167" ht="20" customHeight="1">
      <c r="A167" s="33" t="inlineStr">
        <is>
          <t>Май</t>
        </is>
      </c>
      <c r="B167" s="33" t="n">
        <v>146</v>
      </c>
      <c r="C167" s="33" t="n">
        <v>26</v>
      </c>
      <c r="D167" s="34">
        <f>H166</f>
        <v/>
      </c>
      <c r="E167" s="35">
        <f>MIN('Дашборд и Сводка'!$C$9, ROUNDUP(D167/'Дашборд и Сводка'!$C$6, 0)*0.01)</f>
        <v/>
      </c>
      <c r="F167" s="46">
        <f>'Дашборд и Сводка'!$C$7</f>
        <v/>
      </c>
      <c r="G167" s="34">
        <f>E167*F167*'Дашборд и Сводка'!$C$8</f>
        <v/>
      </c>
      <c r="H167" s="34">
        <f>D167+G167</f>
        <v/>
      </c>
    </row>
    <row r="168" ht="20" customHeight="1">
      <c r="A168" s="28" t="inlineStr">
        <is>
          <t>Май</t>
        </is>
      </c>
      <c r="B168" s="28" t="n">
        <v>147</v>
      </c>
      <c r="C168" s="28" t="n">
        <v>27</v>
      </c>
      <c r="D168" s="29">
        <f>H167</f>
        <v/>
      </c>
      <c r="E168" s="30">
        <f>MIN('Дашборд и Сводка'!$C$9, ROUNDUP(D168/'Дашборд и Сводка'!$C$6, 0)*0.01)</f>
        <v/>
      </c>
      <c r="F168" s="45">
        <f>'Дашборд и Сводка'!$C$7</f>
        <v/>
      </c>
      <c r="G168" s="29">
        <f>E168*F168*'Дашборд и Сводка'!$C$8</f>
        <v/>
      </c>
      <c r="H168" s="29">
        <f>D168+G168</f>
        <v/>
      </c>
    </row>
    <row r="169" ht="20" customHeight="1">
      <c r="A169" s="33" t="inlineStr">
        <is>
          <t>Май</t>
        </is>
      </c>
      <c r="B169" s="33" t="n">
        <v>148</v>
      </c>
      <c r="C169" s="33" t="n">
        <v>28</v>
      </c>
      <c r="D169" s="34">
        <f>H168</f>
        <v/>
      </c>
      <c r="E169" s="35">
        <f>MIN('Дашборд и Сводка'!$C$9, ROUNDUP(D169/'Дашборд и Сводка'!$C$6, 0)*0.01)</f>
        <v/>
      </c>
      <c r="F169" s="46">
        <f>'Дашборд и Сводка'!$C$7</f>
        <v/>
      </c>
      <c r="G169" s="34">
        <f>E169*F169*'Дашборд и Сводка'!$C$8</f>
        <v/>
      </c>
      <c r="H169" s="34">
        <f>D169+G169</f>
        <v/>
      </c>
    </row>
    <row r="170" ht="20" customHeight="1">
      <c r="A170" s="28" t="inlineStr">
        <is>
          <t>Май</t>
        </is>
      </c>
      <c r="B170" s="28" t="n">
        <v>149</v>
      </c>
      <c r="C170" s="28" t="n">
        <v>29</v>
      </c>
      <c r="D170" s="29">
        <f>H169</f>
        <v/>
      </c>
      <c r="E170" s="30">
        <f>MIN('Дашборд и Сводка'!$C$9, ROUNDUP(D170/'Дашборд и Сводка'!$C$6, 0)*0.01)</f>
        <v/>
      </c>
      <c r="F170" s="45">
        <f>'Дашборд и Сводка'!$C$7</f>
        <v/>
      </c>
      <c r="G170" s="29">
        <f>E170*F170*'Дашборд и Сводка'!$C$8</f>
        <v/>
      </c>
      <c r="H170" s="29">
        <f>D170+G170</f>
        <v/>
      </c>
    </row>
    <row r="171" ht="20" customHeight="1">
      <c r="A171" s="33" t="inlineStr">
        <is>
          <t>Май</t>
        </is>
      </c>
      <c r="B171" s="33" t="n">
        <v>150</v>
      </c>
      <c r="C171" s="33" t="n">
        <v>30</v>
      </c>
      <c r="D171" s="34">
        <f>H170</f>
        <v/>
      </c>
      <c r="E171" s="35">
        <f>MIN('Дашборд и Сводка'!$C$9, ROUNDUP(D171/'Дашборд и Сводка'!$C$6, 0)*0.01)</f>
        <v/>
      </c>
      <c r="F171" s="46">
        <f>'Дашборд и Сводка'!$C$7</f>
        <v/>
      </c>
      <c r="G171" s="34">
        <f>E171*F171*'Дашборд и Сводка'!$C$8</f>
        <v/>
      </c>
      <c r="H171" s="34">
        <f>D171+G171</f>
        <v/>
      </c>
    </row>
    <row r="172" ht="20" customHeight="1">
      <c r="A172" s="28" t="inlineStr">
        <is>
          <t>Май</t>
        </is>
      </c>
      <c r="B172" s="28" t="n">
        <v>151</v>
      </c>
      <c r="C172" s="28" t="n">
        <v>31</v>
      </c>
      <c r="D172" s="29">
        <f>H171</f>
        <v/>
      </c>
      <c r="E172" s="30">
        <f>MIN('Дашборд и Сводка'!$C$9, ROUNDUP(D172/'Дашборд и Сводка'!$C$6, 0)*0.01)</f>
        <v/>
      </c>
      <c r="F172" s="45">
        <f>'Дашборд и Сводка'!$C$7</f>
        <v/>
      </c>
      <c r="G172" s="29">
        <f>E172*F172*'Дашборд и Сводка'!$C$8</f>
        <v/>
      </c>
      <c r="H172" s="29">
        <f>D172+G172</f>
        <v/>
      </c>
    </row>
    <row r="173" ht="24" customHeight="1">
      <c r="A173" s="56" t="inlineStr">
        <is>
          <t>ИТОГО ЗА МАЙ:</t>
        </is>
      </c>
      <c r="B173" s="48" t="n"/>
      <c r="C173" s="48" t="n"/>
      <c r="D173" s="57">
        <f>D142</f>
        <v/>
      </c>
      <c r="E173" s="58">
        <f>MAX(E142:E172)</f>
        <v/>
      </c>
      <c r="F173" s="59">
        <f>'Дашборд и Сводка'!$C$7</f>
        <v/>
      </c>
      <c r="G173" s="60">
        <f>SUM(G142:G172)</f>
        <v/>
      </c>
      <c r="H173" s="61">
        <f>H172</f>
        <v/>
      </c>
    </row>
    <row r="175" ht="26" customHeight="1">
      <c r="A175" s="55" t="inlineStr">
        <is>
          <t>МЕСЯЦ 6: ИЮНЬ (30 торговых дней)</t>
        </is>
      </c>
    </row>
    <row r="176" ht="24" customHeight="1">
      <c r="A176" s="44" t="inlineStr">
        <is>
          <t>Месяц</t>
        </is>
      </c>
      <c r="B176" s="44" t="inlineStr">
        <is>
          <t>День года</t>
        </is>
      </c>
      <c r="C176" s="44" t="inlineStr">
        <is>
          <t>День месяца</t>
        </is>
      </c>
      <c r="D176" s="44" t="inlineStr">
        <is>
          <t>Начальный депозит ($)</t>
        </is>
      </c>
      <c r="E176" s="44" t="inlineStr">
        <is>
          <t>Размер лота</t>
        </is>
      </c>
      <c r="F176" s="44" t="inlineStr">
        <is>
          <t>Цель (пунктов)</t>
        </is>
      </c>
      <c r="G176" s="44" t="inlineStr">
        <is>
          <t>Прибыль за день ($)</t>
        </is>
      </c>
      <c r="H176" s="44" t="inlineStr">
        <is>
          <t>Итоговый баланс ($)</t>
        </is>
      </c>
    </row>
    <row r="177" ht="20" customHeight="1">
      <c r="A177" s="28" t="inlineStr">
        <is>
          <t>Июнь</t>
        </is>
      </c>
      <c r="B177" s="28" t="n">
        <v>152</v>
      </c>
      <c r="C177" s="28" t="n">
        <v>1</v>
      </c>
      <c r="D177" s="29">
        <f>H172</f>
        <v/>
      </c>
      <c r="E177" s="30">
        <f>MIN('Дашборд и Сводка'!$C$9, ROUNDUP(D177/'Дашборд и Сводка'!$C$6, 0)*0.01)</f>
        <v/>
      </c>
      <c r="F177" s="45">
        <f>'Дашборд и Сводка'!$C$7</f>
        <v/>
      </c>
      <c r="G177" s="29">
        <f>E177*F177*'Дашборд и Сводка'!$C$8</f>
        <v/>
      </c>
      <c r="H177" s="29">
        <f>D177+G177</f>
        <v/>
      </c>
    </row>
    <row r="178" ht="20" customHeight="1">
      <c r="A178" s="33" t="inlineStr">
        <is>
          <t>Июнь</t>
        </is>
      </c>
      <c r="B178" s="33" t="n">
        <v>153</v>
      </c>
      <c r="C178" s="33" t="n">
        <v>2</v>
      </c>
      <c r="D178" s="34">
        <f>H177</f>
        <v/>
      </c>
      <c r="E178" s="35">
        <f>MIN('Дашборд и Сводка'!$C$9, ROUNDUP(D178/'Дашборд и Сводка'!$C$6, 0)*0.01)</f>
        <v/>
      </c>
      <c r="F178" s="46">
        <f>'Дашборд и Сводка'!$C$7</f>
        <v/>
      </c>
      <c r="G178" s="34">
        <f>E178*F178*'Дашборд и Сводка'!$C$8</f>
        <v/>
      </c>
      <c r="H178" s="34">
        <f>D178+G178</f>
        <v/>
      </c>
    </row>
    <row r="179" ht="20" customHeight="1">
      <c r="A179" s="28" t="inlineStr">
        <is>
          <t>Июнь</t>
        </is>
      </c>
      <c r="B179" s="28" t="n">
        <v>154</v>
      </c>
      <c r="C179" s="28" t="n">
        <v>3</v>
      </c>
      <c r="D179" s="29">
        <f>H178</f>
        <v/>
      </c>
      <c r="E179" s="30">
        <f>MIN('Дашборд и Сводка'!$C$9, ROUNDUP(D179/'Дашборд и Сводка'!$C$6, 0)*0.01)</f>
        <v/>
      </c>
      <c r="F179" s="45">
        <f>'Дашборд и Сводка'!$C$7</f>
        <v/>
      </c>
      <c r="G179" s="29">
        <f>E179*F179*'Дашборд и Сводка'!$C$8</f>
        <v/>
      </c>
      <c r="H179" s="29">
        <f>D179+G179</f>
        <v/>
      </c>
    </row>
    <row r="180" ht="20" customHeight="1">
      <c r="A180" s="33" t="inlineStr">
        <is>
          <t>Июнь</t>
        </is>
      </c>
      <c r="B180" s="33" t="n">
        <v>155</v>
      </c>
      <c r="C180" s="33" t="n">
        <v>4</v>
      </c>
      <c r="D180" s="34">
        <f>H179</f>
        <v/>
      </c>
      <c r="E180" s="35">
        <f>MIN('Дашборд и Сводка'!$C$9, ROUNDUP(D180/'Дашборд и Сводка'!$C$6, 0)*0.01)</f>
        <v/>
      </c>
      <c r="F180" s="46">
        <f>'Дашборд и Сводка'!$C$7</f>
        <v/>
      </c>
      <c r="G180" s="34">
        <f>E180*F180*'Дашборд и Сводка'!$C$8</f>
        <v/>
      </c>
      <c r="H180" s="34">
        <f>D180+G180</f>
        <v/>
      </c>
    </row>
    <row r="181" ht="20" customHeight="1">
      <c r="A181" s="28" t="inlineStr">
        <is>
          <t>Июнь</t>
        </is>
      </c>
      <c r="B181" s="28" t="n">
        <v>156</v>
      </c>
      <c r="C181" s="28" t="n">
        <v>5</v>
      </c>
      <c r="D181" s="29">
        <f>H180</f>
        <v/>
      </c>
      <c r="E181" s="30">
        <f>MIN('Дашборд и Сводка'!$C$9, ROUNDUP(D181/'Дашборд и Сводка'!$C$6, 0)*0.01)</f>
        <v/>
      </c>
      <c r="F181" s="45">
        <f>'Дашборд и Сводка'!$C$7</f>
        <v/>
      </c>
      <c r="G181" s="29">
        <f>E181*F181*'Дашборд и Сводка'!$C$8</f>
        <v/>
      </c>
      <c r="H181" s="29">
        <f>D181+G181</f>
        <v/>
      </c>
    </row>
    <row r="182" ht="20" customHeight="1">
      <c r="A182" s="33" t="inlineStr">
        <is>
          <t>Июнь</t>
        </is>
      </c>
      <c r="B182" s="33" t="n">
        <v>157</v>
      </c>
      <c r="C182" s="33" t="n">
        <v>6</v>
      </c>
      <c r="D182" s="34">
        <f>H181</f>
        <v/>
      </c>
      <c r="E182" s="35">
        <f>MIN('Дашборд и Сводка'!$C$9, ROUNDUP(D182/'Дашборд и Сводка'!$C$6, 0)*0.01)</f>
        <v/>
      </c>
      <c r="F182" s="46">
        <f>'Дашборд и Сводка'!$C$7</f>
        <v/>
      </c>
      <c r="G182" s="34">
        <f>E182*F182*'Дашборд и Сводка'!$C$8</f>
        <v/>
      </c>
      <c r="H182" s="34">
        <f>D182+G182</f>
        <v/>
      </c>
    </row>
    <row r="183" ht="20" customHeight="1">
      <c r="A183" s="28" t="inlineStr">
        <is>
          <t>Июнь</t>
        </is>
      </c>
      <c r="B183" s="28" t="n">
        <v>158</v>
      </c>
      <c r="C183" s="28" t="n">
        <v>7</v>
      </c>
      <c r="D183" s="29">
        <f>H182</f>
        <v/>
      </c>
      <c r="E183" s="30">
        <f>MIN('Дашборд и Сводка'!$C$9, ROUNDUP(D183/'Дашборд и Сводка'!$C$6, 0)*0.01)</f>
        <v/>
      </c>
      <c r="F183" s="45">
        <f>'Дашборд и Сводка'!$C$7</f>
        <v/>
      </c>
      <c r="G183" s="29">
        <f>E183*F183*'Дашборд и Сводка'!$C$8</f>
        <v/>
      </c>
      <c r="H183" s="29">
        <f>D183+G183</f>
        <v/>
      </c>
    </row>
    <row r="184" ht="20" customHeight="1">
      <c r="A184" s="33" t="inlineStr">
        <is>
          <t>Июнь</t>
        </is>
      </c>
      <c r="B184" s="33" t="n">
        <v>159</v>
      </c>
      <c r="C184" s="33" t="n">
        <v>8</v>
      </c>
      <c r="D184" s="34">
        <f>H183</f>
        <v/>
      </c>
      <c r="E184" s="35">
        <f>MIN('Дашборд и Сводка'!$C$9, ROUNDUP(D184/'Дашборд и Сводка'!$C$6, 0)*0.01)</f>
        <v/>
      </c>
      <c r="F184" s="46">
        <f>'Дашборд и Сводка'!$C$7</f>
        <v/>
      </c>
      <c r="G184" s="34">
        <f>E184*F184*'Дашборд и Сводка'!$C$8</f>
        <v/>
      </c>
      <c r="H184" s="34">
        <f>D184+G184</f>
        <v/>
      </c>
    </row>
    <row r="185" ht="20" customHeight="1">
      <c r="A185" s="28" t="inlineStr">
        <is>
          <t>Июнь</t>
        </is>
      </c>
      <c r="B185" s="28" t="n">
        <v>160</v>
      </c>
      <c r="C185" s="28" t="n">
        <v>9</v>
      </c>
      <c r="D185" s="29">
        <f>H184</f>
        <v/>
      </c>
      <c r="E185" s="30">
        <f>MIN('Дашборд и Сводка'!$C$9, ROUNDUP(D185/'Дашборд и Сводка'!$C$6, 0)*0.01)</f>
        <v/>
      </c>
      <c r="F185" s="45">
        <f>'Дашборд и Сводка'!$C$7</f>
        <v/>
      </c>
      <c r="G185" s="29">
        <f>E185*F185*'Дашборд и Сводка'!$C$8</f>
        <v/>
      </c>
      <c r="H185" s="29">
        <f>D185+G185</f>
        <v/>
      </c>
    </row>
    <row r="186" ht="20" customHeight="1">
      <c r="A186" s="33" t="inlineStr">
        <is>
          <t>Июнь</t>
        </is>
      </c>
      <c r="B186" s="33" t="n">
        <v>161</v>
      </c>
      <c r="C186" s="33" t="n">
        <v>10</v>
      </c>
      <c r="D186" s="34">
        <f>H185</f>
        <v/>
      </c>
      <c r="E186" s="35">
        <f>MIN('Дашборд и Сводка'!$C$9, ROUNDUP(D186/'Дашборд и Сводка'!$C$6, 0)*0.01)</f>
        <v/>
      </c>
      <c r="F186" s="46">
        <f>'Дашборд и Сводка'!$C$7</f>
        <v/>
      </c>
      <c r="G186" s="34">
        <f>E186*F186*'Дашборд и Сводка'!$C$8</f>
        <v/>
      </c>
      <c r="H186" s="34">
        <f>D186+G186</f>
        <v/>
      </c>
    </row>
    <row r="187" ht="20" customHeight="1">
      <c r="A187" s="28" t="inlineStr">
        <is>
          <t>Июнь</t>
        </is>
      </c>
      <c r="B187" s="28" t="n">
        <v>162</v>
      </c>
      <c r="C187" s="28" t="n">
        <v>11</v>
      </c>
      <c r="D187" s="29">
        <f>H186</f>
        <v/>
      </c>
      <c r="E187" s="30">
        <f>MIN('Дашборд и Сводка'!$C$9, ROUNDUP(D187/'Дашборд и Сводка'!$C$6, 0)*0.01)</f>
        <v/>
      </c>
      <c r="F187" s="45">
        <f>'Дашборд и Сводка'!$C$7</f>
        <v/>
      </c>
      <c r="G187" s="29">
        <f>E187*F187*'Дашборд и Сводка'!$C$8</f>
        <v/>
      </c>
      <c r="H187" s="29">
        <f>D187+G187</f>
        <v/>
      </c>
    </row>
    <row r="188" ht="20" customHeight="1">
      <c r="A188" s="33" t="inlineStr">
        <is>
          <t>Июнь</t>
        </is>
      </c>
      <c r="B188" s="33" t="n">
        <v>163</v>
      </c>
      <c r="C188" s="33" t="n">
        <v>12</v>
      </c>
      <c r="D188" s="34">
        <f>H187</f>
        <v/>
      </c>
      <c r="E188" s="35">
        <f>MIN('Дашборд и Сводка'!$C$9, ROUNDUP(D188/'Дашборд и Сводка'!$C$6, 0)*0.01)</f>
        <v/>
      </c>
      <c r="F188" s="46">
        <f>'Дашборд и Сводка'!$C$7</f>
        <v/>
      </c>
      <c r="G188" s="34">
        <f>E188*F188*'Дашборд и Сводка'!$C$8</f>
        <v/>
      </c>
      <c r="H188" s="34">
        <f>D188+G188</f>
        <v/>
      </c>
    </row>
    <row r="189" ht="20" customHeight="1">
      <c r="A189" s="28" t="inlineStr">
        <is>
          <t>Июнь</t>
        </is>
      </c>
      <c r="B189" s="28" t="n">
        <v>164</v>
      </c>
      <c r="C189" s="28" t="n">
        <v>13</v>
      </c>
      <c r="D189" s="29">
        <f>H188</f>
        <v/>
      </c>
      <c r="E189" s="30">
        <f>MIN('Дашборд и Сводка'!$C$9, ROUNDUP(D189/'Дашборд и Сводка'!$C$6, 0)*0.01)</f>
        <v/>
      </c>
      <c r="F189" s="45">
        <f>'Дашборд и Сводка'!$C$7</f>
        <v/>
      </c>
      <c r="G189" s="29">
        <f>E189*F189*'Дашборд и Сводка'!$C$8</f>
        <v/>
      </c>
      <c r="H189" s="29">
        <f>D189+G189</f>
        <v/>
      </c>
    </row>
    <row r="190" ht="20" customHeight="1">
      <c r="A190" s="33" t="inlineStr">
        <is>
          <t>Июнь</t>
        </is>
      </c>
      <c r="B190" s="33" t="n">
        <v>165</v>
      </c>
      <c r="C190" s="33" t="n">
        <v>14</v>
      </c>
      <c r="D190" s="34">
        <f>H189</f>
        <v/>
      </c>
      <c r="E190" s="35">
        <f>MIN('Дашборд и Сводка'!$C$9, ROUNDUP(D190/'Дашборд и Сводка'!$C$6, 0)*0.01)</f>
        <v/>
      </c>
      <c r="F190" s="46">
        <f>'Дашборд и Сводка'!$C$7</f>
        <v/>
      </c>
      <c r="G190" s="34">
        <f>E190*F190*'Дашборд и Сводка'!$C$8</f>
        <v/>
      </c>
      <c r="H190" s="34">
        <f>D190+G190</f>
        <v/>
      </c>
    </row>
    <row r="191" ht="20" customHeight="1">
      <c r="A191" s="28" t="inlineStr">
        <is>
          <t>Июнь</t>
        </is>
      </c>
      <c r="B191" s="28" t="n">
        <v>166</v>
      </c>
      <c r="C191" s="28" t="n">
        <v>15</v>
      </c>
      <c r="D191" s="29">
        <f>H190</f>
        <v/>
      </c>
      <c r="E191" s="30">
        <f>MIN('Дашборд и Сводка'!$C$9, ROUNDUP(D191/'Дашборд и Сводка'!$C$6, 0)*0.01)</f>
        <v/>
      </c>
      <c r="F191" s="45">
        <f>'Дашборд и Сводка'!$C$7</f>
        <v/>
      </c>
      <c r="G191" s="29">
        <f>E191*F191*'Дашборд и Сводка'!$C$8</f>
        <v/>
      </c>
      <c r="H191" s="29">
        <f>D191+G191</f>
        <v/>
      </c>
    </row>
    <row r="192" ht="20" customHeight="1">
      <c r="A192" s="33" t="inlineStr">
        <is>
          <t>Июнь</t>
        </is>
      </c>
      <c r="B192" s="33" t="n">
        <v>167</v>
      </c>
      <c r="C192" s="33" t="n">
        <v>16</v>
      </c>
      <c r="D192" s="34">
        <f>H191</f>
        <v/>
      </c>
      <c r="E192" s="35">
        <f>MIN('Дашборд и Сводка'!$C$9, ROUNDUP(D192/'Дашборд и Сводка'!$C$6, 0)*0.01)</f>
        <v/>
      </c>
      <c r="F192" s="46">
        <f>'Дашборд и Сводка'!$C$7</f>
        <v/>
      </c>
      <c r="G192" s="34">
        <f>E192*F192*'Дашборд и Сводка'!$C$8</f>
        <v/>
      </c>
      <c r="H192" s="34">
        <f>D192+G192</f>
        <v/>
      </c>
    </row>
    <row r="193" ht="20" customHeight="1">
      <c r="A193" s="28" t="inlineStr">
        <is>
          <t>Июнь</t>
        </is>
      </c>
      <c r="B193" s="28" t="n">
        <v>168</v>
      </c>
      <c r="C193" s="28" t="n">
        <v>17</v>
      </c>
      <c r="D193" s="29">
        <f>H192</f>
        <v/>
      </c>
      <c r="E193" s="30">
        <f>MIN('Дашборд и Сводка'!$C$9, ROUNDUP(D193/'Дашборд и Сводка'!$C$6, 0)*0.01)</f>
        <v/>
      </c>
      <c r="F193" s="45">
        <f>'Дашборд и Сводка'!$C$7</f>
        <v/>
      </c>
      <c r="G193" s="29">
        <f>E193*F193*'Дашборд и Сводка'!$C$8</f>
        <v/>
      </c>
      <c r="H193" s="29">
        <f>D193+G193</f>
        <v/>
      </c>
    </row>
    <row r="194" ht="20" customHeight="1">
      <c r="A194" s="33" t="inlineStr">
        <is>
          <t>Июнь</t>
        </is>
      </c>
      <c r="B194" s="33" t="n">
        <v>169</v>
      </c>
      <c r="C194" s="33" t="n">
        <v>18</v>
      </c>
      <c r="D194" s="34">
        <f>H193</f>
        <v/>
      </c>
      <c r="E194" s="35">
        <f>MIN('Дашборд и Сводка'!$C$9, ROUNDUP(D194/'Дашборд и Сводка'!$C$6, 0)*0.01)</f>
        <v/>
      </c>
      <c r="F194" s="46">
        <f>'Дашборд и Сводка'!$C$7</f>
        <v/>
      </c>
      <c r="G194" s="34">
        <f>E194*F194*'Дашборд и Сводка'!$C$8</f>
        <v/>
      </c>
      <c r="H194" s="34">
        <f>D194+G194</f>
        <v/>
      </c>
    </row>
    <row r="195" ht="20" customHeight="1">
      <c r="A195" s="28" t="inlineStr">
        <is>
          <t>Июнь</t>
        </is>
      </c>
      <c r="B195" s="28" t="n">
        <v>170</v>
      </c>
      <c r="C195" s="28" t="n">
        <v>19</v>
      </c>
      <c r="D195" s="29">
        <f>H194</f>
        <v/>
      </c>
      <c r="E195" s="30">
        <f>MIN('Дашборд и Сводка'!$C$9, ROUNDUP(D195/'Дашборд и Сводка'!$C$6, 0)*0.01)</f>
        <v/>
      </c>
      <c r="F195" s="45">
        <f>'Дашборд и Сводка'!$C$7</f>
        <v/>
      </c>
      <c r="G195" s="29">
        <f>E195*F195*'Дашборд и Сводка'!$C$8</f>
        <v/>
      </c>
      <c r="H195" s="29">
        <f>D195+G195</f>
        <v/>
      </c>
    </row>
    <row r="196" ht="20" customHeight="1">
      <c r="A196" s="33" t="inlineStr">
        <is>
          <t>Июнь</t>
        </is>
      </c>
      <c r="B196" s="33" t="n">
        <v>171</v>
      </c>
      <c r="C196" s="33" t="n">
        <v>20</v>
      </c>
      <c r="D196" s="34">
        <f>H195</f>
        <v/>
      </c>
      <c r="E196" s="35">
        <f>MIN('Дашборд и Сводка'!$C$9, ROUNDUP(D196/'Дашборд и Сводка'!$C$6, 0)*0.01)</f>
        <v/>
      </c>
      <c r="F196" s="46">
        <f>'Дашборд и Сводка'!$C$7</f>
        <v/>
      </c>
      <c r="G196" s="34">
        <f>E196*F196*'Дашборд и Сводка'!$C$8</f>
        <v/>
      </c>
      <c r="H196" s="34">
        <f>D196+G196</f>
        <v/>
      </c>
    </row>
    <row r="197" ht="20" customHeight="1">
      <c r="A197" s="28" t="inlineStr">
        <is>
          <t>Июнь</t>
        </is>
      </c>
      <c r="B197" s="28" t="n">
        <v>172</v>
      </c>
      <c r="C197" s="28" t="n">
        <v>21</v>
      </c>
      <c r="D197" s="29">
        <f>H196</f>
        <v/>
      </c>
      <c r="E197" s="30">
        <f>MIN('Дашборд и Сводка'!$C$9, ROUNDUP(D197/'Дашборд и Сводка'!$C$6, 0)*0.01)</f>
        <v/>
      </c>
      <c r="F197" s="45">
        <f>'Дашборд и Сводка'!$C$7</f>
        <v/>
      </c>
      <c r="G197" s="29">
        <f>E197*F197*'Дашборд и Сводка'!$C$8</f>
        <v/>
      </c>
      <c r="H197" s="29">
        <f>D197+G197</f>
        <v/>
      </c>
    </row>
    <row r="198" ht="20" customHeight="1">
      <c r="A198" s="33" t="inlineStr">
        <is>
          <t>Июнь</t>
        </is>
      </c>
      <c r="B198" s="33" t="n">
        <v>173</v>
      </c>
      <c r="C198" s="33" t="n">
        <v>22</v>
      </c>
      <c r="D198" s="34">
        <f>H197</f>
        <v/>
      </c>
      <c r="E198" s="35">
        <f>MIN('Дашборд и Сводка'!$C$9, ROUNDUP(D198/'Дашборд и Сводка'!$C$6, 0)*0.01)</f>
        <v/>
      </c>
      <c r="F198" s="46">
        <f>'Дашборд и Сводка'!$C$7</f>
        <v/>
      </c>
      <c r="G198" s="34">
        <f>E198*F198*'Дашборд и Сводка'!$C$8</f>
        <v/>
      </c>
      <c r="H198" s="34">
        <f>D198+G198</f>
        <v/>
      </c>
    </row>
    <row r="199" ht="20" customHeight="1">
      <c r="A199" s="28" t="inlineStr">
        <is>
          <t>Июнь</t>
        </is>
      </c>
      <c r="B199" s="28" t="n">
        <v>174</v>
      </c>
      <c r="C199" s="28" t="n">
        <v>23</v>
      </c>
      <c r="D199" s="29">
        <f>H198</f>
        <v/>
      </c>
      <c r="E199" s="30">
        <f>MIN('Дашборд и Сводка'!$C$9, ROUNDUP(D199/'Дашборд и Сводка'!$C$6, 0)*0.01)</f>
        <v/>
      </c>
      <c r="F199" s="45">
        <f>'Дашборд и Сводка'!$C$7</f>
        <v/>
      </c>
      <c r="G199" s="29">
        <f>E199*F199*'Дашборд и Сводка'!$C$8</f>
        <v/>
      </c>
      <c r="H199" s="29">
        <f>D199+G199</f>
        <v/>
      </c>
    </row>
    <row r="200" ht="20" customHeight="1">
      <c r="A200" s="33" t="inlineStr">
        <is>
          <t>Июнь</t>
        </is>
      </c>
      <c r="B200" s="33" t="n">
        <v>175</v>
      </c>
      <c r="C200" s="33" t="n">
        <v>24</v>
      </c>
      <c r="D200" s="34">
        <f>H199</f>
        <v/>
      </c>
      <c r="E200" s="35">
        <f>MIN('Дашборд и Сводка'!$C$9, ROUNDUP(D200/'Дашборд и Сводка'!$C$6, 0)*0.01)</f>
        <v/>
      </c>
      <c r="F200" s="46">
        <f>'Дашборд и Сводка'!$C$7</f>
        <v/>
      </c>
      <c r="G200" s="34">
        <f>E200*F200*'Дашборд и Сводка'!$C$8</f>
        <v/>
      </c>
      <c r="H200" s="34">
        <f>D200+G200</f>
        <v/>
      </c>
    </row>
    <row r="201" ht="20" customHeight="1">
      <c r="A201" s="28" t="inlineStr">
        <is>
          <t>Июнь</t>
        </is>
      </c>
      <c r="B201" s="28" t="n">
        <v>176</v>
      </c>
      <c r="C201" s="28" t="n">
        <v>25</v>
      </c>
      <c r="D201" s="29">
        <f>H200</f>
        <v/>
      </c>
      <c r="E201" s="30">
        <f>MIN('Дашборд и Сводка'!$C$9, ROUNDUP(D201/'Дашборд и Сводка'!$C$6, 0)*0.01)</f>
        <v/>
      </c>
      <c r="F201" s="45">
        <f>'Дашборд и Сводка'!$C$7</f>
        <v/>
      </c>
      <c r="G201" s="29">
        <f>E201*F201*'Дашборд и Сводка'!$C$8</f>
        <v/>
      </c>
      <c r="H201" s="29">
        <f>D201+G201</f>
        <v/>
      </c>
    </row>
    <row r="202" ht="20" customHeight="1">
      <c r="A202" s="33" t="inlineStr">
        <is>
          <t>Июнь</t>
        </is>
      </c>
      <c r="B202" s="33" t="n">
        <v>177</v>
      </c>
      <c r="C202" s="33" t="n">
        <v>26</v>
      </c>
      <c r="D202" s="34">
        <f>H201</f>
        <v/>
      </c>
      <c r="E202" s="35">
        <f>MIN('Дашборд и Сводка'!$C$9, ROUNDUP(D202/'Дашборд и Сводка'!$C$6, 0)*0.01)</f>
        <v/>
      </c>
      <c r="F202" s="46">
        <f>'Дашборд и Сводка'!$C$7</f>
        <v/>
      </c>
      <c r="G202" s="34">
        <f>E202*F202*'Дашборд и Сводка'!$C$8</f>
        <v/>
      </c>
      <c r="H202" s="34">
        <f>D202+G202</f>
        <v/>
      </c>
    </row>
    <row r="203" ht="20" customHeight="1">
      <c r="A203" s="28" t="inlineStr">
        <is>
          <t>Июнь</t>
        </is>
      </c>
      <c r="B203" s="28" t="n">
        <v>178</v>
      </c>
      <c r="C203" s="28" t="n">
        <v>27</v>
      </c>
      <c r="D203" s="29">
        <f>H202</f>
        <v/>
      </c>
      <c r="E203" s="30">
        <f>MIN('Дашборд и Сводка'!$C$9, ROUNDUP(D203/'Дашборд и Сводка'!$C$6, 0)*0.01)</f>
        <v/>
      </c>
      <c r="F203" s="45">
        <f>'Дашборд и Сводка'!$C$7</f>
        <v/>
      </c>
      <c r="G203" s="29">
        <f>E203*F203*'Дашборд и Сводка'!$C$8</f>
        <v/>
      </c>
      <c r="H203" s="29">
        <f>D203+G203</f>
        <v/>
      </c>
    </row>
    <row r="204" ht="20" customHeight="1">
      <c r="A204" s="33" t="inlineStr">
        <is>
          <t>Июнь</t>
        </is>
      </c>
      <c r="B204" s="33" t="n">
        <v>179</v>
      </c>
      <c r="C204" s="33" t="n">
        <v>28</v>
      </c>
      <c r="D204" s="34">
        <f>H203</f>
        <v/>
      </c>
      <c r="E204" s="35">
        <f>MIN('Дашборд и Сводка'!$C$9, ROUNDUP(D204/'Дашборд и Сводка'!$C$6, 0)*0.01)</f>
        <v/>
      </c>
      <c r="F204" s="46">
        <f>'Дашборд и Сводка'!$C$7</f>
        <v/>
      </c>
      <c r="G204" s="34">
        <f>E204*F204*'Дашборд и Сводка'!$C$8</f>
        <v/>
      </c>
      <c r="H204" s="34">
        <f>D204+G204</f>
        <v/>
      </c>
    </row>
    <row r="205" ht="20" customHeight="1">
      <c r="A205" s="28" t="inlineStr">
        <is>
          <t>Июнь</t>
        </is>
      </c>
      <c r="B205" s="28" t="n">
        <v>180</v>
      </c>
      <c r="C205" s="28" t="n">
        <v>29</v>
      </c>
      <c r="D205" s="29">
        <f>H204</f>
        <v/>
      </c>
      <c r="E205" s="30">
        <f>MIN('Дашборд и Сводка'!$C$9, ROUNDUP(D205/'Дашборд и Сводка'!$C$6, 0)*0.01)</f>
        <v/>
      </c>
      <c r="F205" s="45">
        <f>'Дашборд и Сводка'!$C$7</f>
        <v/>
      </c>
      <c r="G205" s="29">
        <f>E205*F205*'Дашборд и Сводка'!$C$8</f>
        <v/>
      </c>
      <c r="H205" s="29">
        <f>D205+G205</f>
        <v/>
      </c>
    </row>
    <row r="206" ht="20" customHeight="1">
      <c r="A206" s="33" t="inlineStr">
        <is>
          <t>Июнь</t>
        </is>
      </c>
      <c r="B206" s="33" t="n">
        <v>181</v>
      </c>
      <c r="C206" s="33" t="n">
        <v>30</v>
      </c>
      <c r="D206" s="34">
        <f>H205</f>
        <v/>
      </c>
      <c r="E206" s="35">
        <f>MIN('Дашборд и Сводка'!$C$9, ROUNDUP(D206/'Дашборд и Сводка'!$C$6, 0)*0.01)</f>
        <v/>
      </c>
      <c r="F206" s="46">
        <f>'Дашборд и Сводка'!$C$7</f>
        <v/>
      </c>
      <c r="G206" s="34">
        <f>E206*F206*'Дашборд и Сводка'!$C$8</f>
        <v/>
      </c>
      <c r="H206" s="34">
        <f>D206+G206</f>
        <v/>
      </c>
    </row>
    <row r="207" ht="24" customHeight="1">
      <c r="A207" s="56" t="inlineStr">
        <is>
          <t>ИТОГО ЗА ИЮНЬ:</t>
        </is>
      </c>
      <c r="B207" s="48" t="n"/>
      <c r="C207" s="48" t="n"/>
      <c r="D207" s="57">
        <f>D177</f>
        <v/>
      </c>
      <c r="E207" s="58">
        <f>MAX(E177:E206)</f>
        <v/>
      </c>
      <c r="F207" s="59">
        <f>'Дашборд и Сводка'!$C$7</f>
        <v/>
      </c>
      <c r="G207" s="60">
        <f>SUM(G177:G206)</f>
        <v/>
      </c>
      <c r="H207" s="61">
        <f>H206</f>
        <v/>
      </c>
    </row>
    <row r="209" ht="26" customHeight="1">
      <c r="A209" s="55" t="inlineStr">
        <is>
          <t>МЕСЯЦ 7: ИЮЛЬ (31 торговых дней)</t>
        </is>
      </c>
    </row>
    <row r="210" ht="24" customHeight="1">
      <c r="A210" s="44" t="inlineStr">
        <is>
          <t>Месяц</t>
        </is>
      </c>
      <c r="B210" s="44" t="inlineStr">
        <is>
          <t>День года</t>
        </is>
      </c>
      <c r="C210" s="44" t="inlineStr">
        <is>
          <t>День месяца</t>
        </is>
      </c>
      <c r="D210" s="44" t="inlineStr">
        <is>
          <t>Начальный депозит ($)</t>
        </is>
      </c>
      <c r="E210" s="44" t="inlineStr">
        <is>
          <t>Размер лота</t>
        </is>
      </c>
      <c r="F210" s="44" t="inlineStr">
        <is>
          <t>Цель (пунктов)</t>
        </is>
      </c>
      <c r="G210" s="44" t="inlineStr">
        <is>
          <t>Прибыль за день ($)</t>
        </is>
      </c>
      <c r="H210" s="44" t="inlineStr">
        <is>
          <t>Итоговый баланс ($)</t>
        </is>
      </c>
    </row>
    <row r="211" ht="20" customHeight="1">
      <c r="A211" s="28" t="inlineStr">
        <is>
          <t>Июль</t>
        </is>
      </c>
      <c r="B211" s="28" t="n">
        <v>182</v>
      </c>
      <c r="C211" s="28" t="n">
        <v>1</v>
      </c>
      <c r="D211" s="29">
        <f>H206</f>
        <v/>
      </c>
      <c r="E211" s="30">
        <f>MIN('Дашборд и Сводка'!$C$9, ROUNDUP(D211/'Дашборд и Сводка'!$C$6, 0)*0.01)</f>
        <v/>
      </c>
      <c r="F211" s="45">
        <f>'Дашборд и Сводка'!$C$7</f>
        <v/>
      </c>
      <c r="G211" s="29">
        <f>E211*F211*'Дашборд и Сводка'!$C$8</f>
        <v/>
      </c>
      <c r="H211" s="29">
        <f>D211+G211</f>
        <v/>
      </c>
    </row>
    <row r="212" ht="20" customHeight="1">
      <c r="A212" s="33" t="inlineStr">
        <is>
          <t>Июль</t>
        </is>
      </c>
      <c r="B212" s="33" t="n">
        <v>183</v>
      </c>
      <c r="C212" s="33" t="n">
        <v>2</v>
      </c>
      <c r="D212" s="34">
        <f>H211</f>
        <v/>
      </c>
      <c r="E212" s="35">
        <f>MIN('Дашборд и Сводка'!$C$9, ROUNDUP(D212/'Дашборд и Сводка'!$C$6, 0)*0.01)</f>
        <v/>
      </c>
      <c r="F212" s="46">
        <f>'Дашборд и Сводка'!$C$7</f>
        <v/>
      </c>
      <c r="G212" s="34">
        <f>E212*F212*'Дашборд и Сводка'!$C$8</f>
        <v/>
      </c>
      <c r="H212" s="34">
        <f>D212+G212</f>
        <v/>
      </c>
    </row>
    <row r="213" ht="20" customHeight="1">
      <c r="A213" s="28" t="inlineStr">
        <is>
          <t>Июль</t>
        </is>
      </c>
      <c r="B213" s="28" t="n">
        <v>184</v>
      </c>
      <c r="C213" s="28" t="n">
        <v>3</v>
      </c>
      <c r="D213" s="29">
        <f>H212</f>
        <v/>
      </c>
      <c r="E213" s="30">
        <f>MIN('Дашборд и Сводка'!$C$9, ROUNDUP(D213/'Дашборд и Сводка'!$C$6, 0)*0.01)</f>
        <v/>
      </c>
      <c r="F213" s="45">
        <f>'Дашборд и Сводка'!$C$7</f>
        <v/>
      </c>
      <c r="G213" s="29">
        <f>E213*F213*'Дашборд и Сводка'!$C$8</f>
        <v/>
      </c>
      <c r="H213" s="29">
        <f>D213+G213</f>
        <v/>
      </c>
    </row>
    <row r="214" ht="20" customHeight="1">
      <c r="A214" s="33" t="inlineStr">
        <is>
          <t>Июль</t>
        </is>
      </c>
      <c r="B214" s="33" t="n">
        <v>185</v>
      </c>
      <c r="C214" s="33" t="n">
        <v>4</v>
      </c>
      <c r="D214" s="34">
        <f>H213</f>
        <v/>
      </c>
      <c r="E214" s="35">
        <f>MIN('Дашборд и Сводка'!$C$9, ROUNDUP(D214/'Дашборд и Сводка'!$C$6, 0)*0.01)</f>
        <v/>
      </c>
      <c r="F214" s="46">
        <f>'Дашборд и Сводка'!$C$7</f>
        <v/>
      </c>
      <c r="G214" s="34">
        <f>E214*F214*'Дашборд и Сводка'!$C$8</f>
        <v/>
      </c>
      <c r="H214" s="34">
        <f>D214+G214</f>
        <v/>
      </c>
    </row>
    <row r="215" ht="20" customHeight="1">
      <c r="A215" s="28" t="inlineStr">
        <is>
          <t>Июль</t>
        </is>
      </c>
      <c r="B215" s="28" t="n">
        <v>186</v>
      </c>
      <c r="C215" s="28" t="n">
        <v>5</v>
      </c>
      <c r="D215" s="29">
        <f>H214</f>
        <v/>
      </c>
      <c r="E215" s="30">
        <f>MIN('Дашборд и Сводка'!$C$9, ROUNDUP(D215/'Дашборд и Сводка'!$C$6, 0)*0.01)</f>
        <v/>
      </c>
      <c r="F215" s="45">
        <f>'Дашборд и Сводка'!$C$7</f>
        <v/>
      </c>
      <c r="G215" s="29">
        <f>E215*F215*'Дашборд и Сводка'!$C$8</f>
        <v/>
      </c>
      <c r="H215" s="29">
        <f>D215+G215</f>
        <v/>
      </c>
    </row>
    <row r="216" ht="20" customHeight="1">
      <c r="A216" s="33" t="inlineStr">
        <is>
          <t>Июль</t>
        </is>
      </c>
      <c r="B216" s="33" t="n">
        <v>187</v>
      </c>
      <c r="C216" s="33" t="n">
        <v>6</v>
      </c>
      <c r="D216" s="34">
        <f>H215</f>
        <v/>
      </c>
      <c r="E216" s="35">
        <f>MIN('Дашборд и Сводка'!$C$9, ROUNDUP(D216/'Дашборд и Сводка'!$C$6, 0)*0.01)</f>
        <v/>
      </c>
      <c r="F216" s="46">
        <f>'Дашборд и Сводка'!$C$7</f>
        <v/>
      </c>
      <c r="G216" s="34">
        <f>E216*F216*'Дашборд и Сводка'!$C$8</f>
        <v/>
      </c>
      <c r="H216" s="34">
        <f>D216+G216</f>
        <v/>
      </c>
    </row>
    <row r="217" ht="20" customHeight="1">
      <c r="A217" s="28" t="inlineStr">
        <is>
          <t>Июль</t>
        </is>
      </c>
      <c r="B217" s="28" t="n">
        <v>188</v>
      </c>
      <c r="C217" s="28" t="n">
        <v>7</v>
      </c>
      <c r="D217" s="29">
        <f>H216</f>
        <v/>
      </c>
      <c r="E217" s="30">
        <f>MIN('Дашборд и Сводка'!$C$9, ROUNDUP(D217/'Дашборд и Сводка'!$C$6, 0)*0.01)</f>
        <v/>
      </c>
      <c r="F217" s="45">
        <f>'Дашборд и Сводка'!$C$7</f>
        <v/>
      </c>
      <c r="G217" s="29">
        <f>E217*F217*'Дашборд и Сводка'!$C$8</f>
        <v/>
      </c>
      <c r="H217" s="29">
        <f>D217+G217</f>
        <v/>
      </c>
    </row>
    <row r="218" ht="20" customHeight="1">
      <c r="A218" s="33" t="inlineStr">
        <is>
          <t>Июль</t>
        </is>
      </c>
      <c r="B218" s="33" t="n">
        <v>189</v>
      </c>
      <c r="C218" s="33" t="n">
        <v>8</v>
      </c>
      <c r="D218" s="34">
        <f>H217</f>
        <v/>
      </c>
      <c r="E218" s="35">
        <f>MIN('Дашборд и Сводка'!$C$9, ROUNDUP(D218/'Дашборд и Сводка'!$C$6, 0)*0.01)</f>
        <v/>
      </c>
      <c r="F218" s="46">
        <f>'Дашборд и Сводка'!$C$7</f>
        <v/>
      </c>
      <c r="G218" s="34">
        <f>E218*F218*'Дашборд и Сводка'!$C$8</f>
        <v/>
      </c>
      <c r="H218" s="34">
        <f>D218+G218</f>
        <v/>
      </c>
    </row>
    <row r="219" ht="20" customHeight="1">
      <c r="A219" s="28" t="inlineStr">
        <is>
          <t>Июль</t>
        </is>
      </c>
      <c r="B219" s="28" t="n">
        <v>190</v>
      </c>
      <c r="C219" s="28" t="n">
        <v>9</v>
      </c>
      <c r="D219" s="29">
        <f>H218</f>
        <v/>
      </c>
      <c r="E219" s="30">
        <f>MIN('Дашборд и Сводка'!$C$9, ROUNDUP(D219/'Дашборд и Сводка'!$C$6, 0)*0.01)</f>
        <v/>
      </c>
      <c r="F219" s="45">
        <f>'Дашборд и Сводка'!$C$7</f>
        <v/>
      </c>
      <c r="G219" s="29">
        <f>E219*F219*'Дашборд и Сводка'!$C$8</f>
        <v/>
      </c>
      <c r="H219" s="29">
        <f>D219+G219</f>
        <v/>
      </c>
    </row>
    <row r="220" ht="20" customHeight="1">
      <c r="A220" s="33" t="inlineStr">
        <is>
          <t>Июль</t>
        </is>
      </c>
      <c r="B220" s="33" t="n">
        <v>191</v>
      </c>
      <c r="C220" s="33" t="n">
        <v>10</v>
      </c>
      <c r="D220" s="34">
        <f>H219</f>
        <v/>
      </c>
      <c r="E220" s="35">
        <f>MIN('Дашборд и Сводка'!$C$9, ROUNDUP(D220/'Дашборд и Сводка'!$C$6, 0)*0.01)</f>
        <v/>
      </c>
      <c r="F220" s="46">
        <f>'Дашборд и Сводка'!$C$7</f>
        <v/>
      </c>
      <c r="G220" s="34">
        <f>E220*F220*'Дашборд и Сводка'!$C$8</f>
        <v/>
      </c>
      <c r="H220" s="34">
        <f>D220+G220</f>
        <v/>
      </c>
    </row>
    <row r="221" ht="20" customHeight="1">
      <c r="A221" s="28" t="inlineStr">
        <is>
          <t>Июль</t>
        </is>
      </c>
      <c r="B221" s="28" t="n">
        <v>192</v>
      </c>
      <c r="C221" s="28" t="n">
        <v>11</v>
      </c>
      <c r="D221" s="29">
        <f>H220</f>
        <v/>
      </c>
      <c r="E221" s="30">
        <f>MIN('Дашборд и Сводка'!$C$9, ROUNDUP(D221/'Дашборд и Сводка'!$C$6, 0)*0.01)</f>
        <v/>
      </c>
      <c r="F221" s="45">
        <f>'Дашборд и Сводка'!$C$7</f>
        <v/>
      </c>
      <c r="G221" s="29">
        <f>E221*F221*'Дашборд и Сводка'!$C$8</f>
        <v/>
      </c>
      <c r="H221" s="29">
        <f>D221+G221</f>
        <v/>
      </c>
    </row>
    <row r="222" ht="20" customHeight="1">
      <c r="A222" s="33" t="inlineStr">
        <is>
          <t>Июль</t>
        </is>
      </c>
      <c r="B222" s="33" t="n">
        <v>193</v>
      </c>
      <c r="C222" s="33" t="n">
        <v>12</v>
      </c>
      <c r="D222" s="34">
        <f>H221</f>
        <v/>
      </c>
      <c r="E222" s="35">
        <f>MIN('Дашборд и Сводка'!$C$9, ROUNDUP(D222/'Дашборд и Сводка'!$C$6, 0)*0.01)</f>
        <v/>
      </c>
      <c r="F222" s="46">
        <f>'Дашборд и Сводка'!$C$7</f>
        <v/>
      </c>
      <c r="G222" s="34">
        <f>E222*F222*'Дашборд и Сводка'!$C$8</f>
        <v/>
      </c>
      <c r="H222" s="34">
        <f>D222+G222</f>
        <v/>
      </c>
    </row>
    <row r="223" ht="20" customHeight="1">
      <c r="A223" s="28" t="inlineStr">
        <is>
          <t>Июль</t>
        </is>
      </c>
      <c r="B223" s="28" t="n">
        <v>194</v>
      </c>
      <c r="C223" s="28" t="n">
        <v>13</v>
      </c>
      <c r="D223" s="29">
        <f>H222</f>
        <v/>
      </c>
      <c r="E223" s="30">
        <f>MIN('Дашборд и Сводка'!$C$9, ROUNDUP(D223/'Дашборд и Сводка'!$C$6, 0)*0.01)</f>
        <v/>
      </c>
      <c r="F223" s="45">
        <f>'Дашборд и Сводка'!$C$7</f>
        <v/>
      </c>
      <c r="G223" s="29">
        <f>E223*F223*'Дашборд и Сводка'!$C$8</f>
        <v/>
      </c>
      <c r="H223" s="29">
        <f>D223+G223</f>
        <v/>
      </c>
    </row>
    <row r="224" ht="20" customHeight="1">
      <c r="A224" s="33" t="inlineStr">
        <is>
          <t>Июль</t>
        </is>
      </c>
      <c r="B224" s="33" t="n">
        <v>195</v>
      </c>
      <c r="C224" s="33" t="n">
        <v>14</v>
      </c>
      <c r="D224" s="34">
        <f>H223</f>
        <v/>
      </c>
      <c r="E224" s="35">
        <f>MIN('Дашборд и Сводка'!$C$9, ROUNDUP(D224/'Дашборд и Сводка'!$C$6, 0)*0.01)</f>
        <v/>
      </c>
      <c r="F224" s="46">
        <f>'Дашборд и Сводка'!$C$7</f>
        <v/>
      </c>
      <c r="G224" s="34">
        <f>E224*F224*'Дашборд и Сводка'!$C$8</f>
        <v/>
      </c>
      <c r="H224" s="34">
        <f>D224+G224</f>
        <v/>
      </c>
    </row>
    <row r="225" ht="20" customHeight="1">
      <c r="A225" s="28" t="inlineStr">
        <is>
          <t>Июль</t>
        </is>
      </c>
      <c r="B225" s="28" t="n">
        <v>196</v>
      </c>
      <c r="C225" s="28" t="n">
        <v>15</v>
      </c>
      <c r="D225" s="29">
        <f>H224</f>
        <v/>
      </c>
      <c r="E225" s="30">
        <f>MIN('Дашборд и Сводка'!$C$9, ROUNDUP(D225/'Дашборд и Сводка'!$C$6, 0)*0.01)</f>
        <v/>
      </c>
      <c r="F225" s="45">
        <f>'Дашборд и Сводка'!$C$7</f>
        <v/>
      </c>
      <c r="G225" s="29">
        <f>E225*F225*'Дашборд и Сводка'!$C$8</f>
        <v/>
      </c>
      <c r="H225" s="29">
        <f>D225+G225</f>
        <v/>
      </c>
    </row>
    <row r="226" ht="20" customHeight="1">
      <c r="A226" s="33" t="inlineStr">
        <is>
          <t>Июль</t>
        </is>
      </c>
      <c r="B226" s="33" t="n">
        <v>197</v>
      </c>
      <c r="C226" s="33" t="n">
        <v>16</v>
      </c>
      <c r="D226" s="34">
        <f>H225</f>
        <v/>
      </c>
      <c r="E226" s="35">
        <f>MIN('Дашборд и Сводка'!$C$9, ROUNDUP(D226/'Дашборд и Сводка'!$C$6, 0)*0.01)</f>
        <v/>
      </c>
      <c r="F226" s="46">
        <f>'Дашборд и Сводка'!$C$7</f>
        <v/>
      </c>
      <c r="G226" s="34">
        <f>E226*F226*'Дашборд и Сводка'!$C$8</f>
        <v/>
      </c>
      <c r="H226" s="34">
        <f>D226+G226</f>
        <v/>
      </c>
    </row>
    <row r="227" ht="20" customHeight="1">
      <c r="A227" s="28" t="inlineStr">
        <is>
          <t>Июль</t>
        </is>
      </c>
      <c r="B227" s="28" t="n">
        <v>198</v>
      </c>
      <c r="C227" s="28" t="n">
        <v>17</v>
      </c>
      <c r="D227" s="29">
        <f>H226</f>
        <v/>
      </c>
      <c r="E227" s="30">
        <f>MIN('Дашборд и Сводка'!$C$9, ROUNDUP(D227/'Дашборд и Сводка'!$C$6, 0)*0.01)</f>
        <v/>
      </c>
      <c r="F227" s="45">
        <f>'Дашборд и Сводка'!$C$7</f>
        <v/>
      </c>
      <c r="G227" s="29">
        <f>E227*F227*'Дашборд и Сводка'!$C$8</f>
        <v/>
      </c>
      <c r="H227" s="29">
        <f>D227+G227</f>
        <v/>
      </c>
    </row>
    <row r="228" ht="20" customHeight="1">
      <c r="A228" s="33" t="inlineStr">
        <is>
          <t>Июль</t>
        </is>
      </c>
      <c r="B228" s="33" t="n">
        <v>199</v>
      </c>
      <c r="C228" s="33" t="n">
        <v>18</v>
      </c>
      <c r="D228" s="34">
        <f>H227</f>
        <v/>
      </c>
      <c r="E228" s="35">
        <f>MIN('Дашборд и Сводка'!$C$9, ROUNDUP(D228/'Дашборд и Сводка'!$C$6, 0)*0.01)</f>
        <v/>
      </c>
      <c r="F228" s="46">
        <f>'Дашборд и Сводка'!$C$7</f>
        <v/>
      </c>
      <c r="G228" s="34">
        <f>E228*F228*'Дашборд и Сводка'!$C$8</f>
        <v/>
      </c>
      <c r="H228" s="34">
        <f>D228+G228</f>
        <v/>
      </c>
    </row>
    <row r="229" ht="20" customHeight="1">
      <c r="A229" s="28" t="inlineStr">
        <is>
          <t>Июль</t>
        </is>
      </c>
      <c r="B229" s="28" t="n">
        <v>200</v>
      </c>
      <c r="C229" s="28" t="n">
        <v>19</v>
      </c>
      <c r="D229" s="29">
        <f>H228</f>
        <v/>
      </c>
      <c r="E229" s="30">
        <f>MIN('Дашборд и Сводка'!$C$9, ROUNDUP(D229/'Дашборд и Сводка'!$C$6, 0)*0.01)</f>
        <v/>
      </c>
      <c r="F229" s="45">
        <f>'Дашборд и Сводка'!$C$7</f>
        <v/>
      </c>
      <c r="G229" s="29">
        <f>E229*F229*'Дашборд и Сводка'!$C$8</f>
        <v/>
      </c>
      <c r="H229" s="29">
        <f>D229+G229</f>
        <v/>
      </c>
    </row>
    <row r="230" ht="20" customHeight="1">
      <c r="A230" s="33" t="inlineStr">
        <is>
          <t>Июль</t>
        </is>
      </c>
      <c r="B230" s="33" t="n">
        <v>201</v>
      </c>
      <c r="C230" s="33" t="n">
        <v>20</v>
      </c>
      <c r="D230" s="34">
        <f>H229</f>
        <v/>
      </c>
      <c r="E230" s="35">
        <f>MIN('Дашборд и Сводка'!$C$9, ROUNDUP(D230/'Дашборд и Сводка'!$C$6, 0)*0.01)</f>
        <v/>
      </c>
      <c r="F230" s="46">
        <f>'Дашборд и Сводка'!$C$7</f>
        <v/>
      </c>
      <c r="G230" s="34">
        <f>E230*F230*'Дашборд и Сводка'!$C$8</f>
        <v/>
      </c>
      <c r="H230" s="34">
        <f>D230+G230</f>
        <v/>
      </c>
    </row>
    <row r="231" ht="20" customHeight="1">
      <c r="A231" s="28" t="inlineStr">
        <is>
          <t>Июль</t>
        </is>
      </c>
      <c r="B231" s="28" t="n">
        <v>202</v>
      </c>
      <c r="C231" s="28" t="n">
        <v>21</v>
      </c>
      <c r="D231" s="29">
        <f>H230</f>
        <v/>
      </c>
      <c r="E231" s="30">
        <f>MIN('Дашборд и Сводка'!$C$9, ROUNDUP(D231/'Дашборд и Сводка'!$C$6, 0)*0.01)</f>
        <v/>
      </c>
      <c r="F231" s="45">
        <f>'Дашборд и Сводка'!$C$7</f>
        <v/>
      </c>
      <c r="G231" s="29">
        <f>E231*F231*'Дашборд и Сводка'!$C$8</f>
        <v/>
      </c>
      <c r="H231" s="29">
        <f>D231+G231</f>
        <v/>
      </c>
    </row>
    <row r="232" ht="20" customHeight="1">
      <c r="A232" s="33" t="inlineStr">
        <is>
          <t>Июль</t>
        </is>
      </c>
      <c r="B232" s="33" t="n">
        <v>203</v>
      </c>
      <c r="C232" s="33" t="n">
        <v>22</v>
      </c>
      <c r="D232" s="34">
        <f>H231</f>
        <v/>
      </c>
      <c r="E232" s="35">
        <f>MIN('Дашборд и Сводка'!$C$9, ROUNDUP(D232/'Дашборд и Сводка'!$C$6, 0)*0.01)</f>
        <v/>
      </c>
      <c r="F232" s="46">
        <f>'Дашборд и Сводка'!$C$7</f>
        <v/>
      </c>
      <c r="G232" s="34">
        <f>E232*F232*'Дашборд и Сводка'!$C$8</f>
        <v/>
      </c>
      <c r="H232" s="34">
        <f>D232+G232</f>
        <v/>
      </c>
    </row>
    <row r="233" ht="20" customHeight="1">
      <c r="A233" s="28" t="inlineStr">
        <is>
          <t>Июль</t>
        </is>
      </c>
      <c r="B233" s="28" t="n">
        <v>204</v>
      </c>
      <c r="C233" s="28" t="n">
        <v>23</v>
      </c>
      <c r="D233" s="29">
        <f>H232</f>
        <v/>
      </c>
      <c r="E233" s="30">
        <f>MIN('Дашборд и Сводка'!$C$9, ROUNDUP(D233/'Дашборд и Сводка'!$C$6, 0)*0.01)</f>
        <v/>
      </c>
      <c r="F233" s="45">
        <f>'Дашборд и Сводка'!$C$7</f>
        <v/>
      </c>
      <c r="G233" s="29">
        <f>E233*F233*'Дашборд и Сводка'!$C$8</f>
        <v/>
      </c>
      <c r="H233" s="29">
        <f>D233+G233</f>
        <v/>
      </c>
    </row>
    <row r="234" ht="20" customHeight="1">
      <c r="A234" s="33" t="inlineStr">
        <is>
          <t>Июль</t>
        </is>
      </c>
      <c r="B234" s="33" t="n">
        <v>205</v>
      </c>
      <c r="C234" s="33" t="n">
        <v>24</v>
      </c>
      <c r="D234" s="34">
        <f>H233</f>
        <v/>
      </c>
      <c r="E234" s="35">
        <f>MIN('Дашборд и Сводка'!$C$9, ROUNDUP(D234/'Дашборд и Сводка'!$C$6, 0)*0.01)</f>
        <v/>
      </c>
      <c r="F234" s="46">
        <f>'Дашборд и Сводка'!$C$7</f>
        <v/>
      </c>
      <c r="G234" s="34">
        <f>E234*F234*'Дашборд и Сводка'!$C$8</f>
        <v/>
      </c>
      <c r="H234" s="34">
        <f>D234+G234</f>
        <v/>
      </c>
    </row>
    <row r="235" ht="20" customHeight="1">
      <c r="A235" s="28" t="inlineStr">
        <is>
          <t>Июль</t>
        </is>
      </c>
      <c r="B235" s="28" t="n">
        <v>206</v>
      </c>
      <c r="C235" s="28" t="n">
        <v>25</v>
      </c>
      <c r="D235" s="29">
        <f>H234</f>
        <v/>
      </c>
      <c r="E235" s="30">
        <f>MIN('Дашборд и Сводка'!$C$9, ROUNDUP(D235/'Дашборд и Сводка'!$C$6, 0)*0.01)</f>
        <v/>
      </c>
      <c r="F235" s="45">
        <f>'Дашборд и Сводка'!$C$7</f>
        <v/>
      </c>
      <c r="G235" s="29">
        <f>E235*F235*'Дашборд и Сводка'!$C$8</f>
        <v/>
      </c>
      <c r="H235" s="29">
        <f>D235+G235</f>
        <v/>
      </c>
    </row>
    <row r="236" ht="20" customHeight="1">
      <c r="A236" s="33" t="inlineStr">
        <is>
          <t>Июль</t>
        </is>
      </c>
      <c r="B236" s="33" t="n">
        <v>207</v>
      </c>
      <c r="C236" s="33" t="n">
        <v>26</v>
      </c>
      <c r="D236" s="34">
        <f>H235</f>
        <v/>
      </c>
      <c r="E236" s="35">
        <f>MIN('Дашборд и Сводка'!$C$9, ROUNDUP(D236/'Дашборд и Сводка'!$C$6, 0)*0.01)</f>
        <v/>
      </c>
      <c r="F236" s="46">
        <f>'Дашборд и Сводка'!$C$7</f>
        <v/>
      </c>
      <c r="G236" s="34">
        <f>E236*F236*'Дашборд и Сводка'!$C$8</f>
        <v/>
      </c>
      <c r="H236" s="34">
        <f>D236+G236</f>
        <v/>
      </c>
    </row>
    <row r="237" ht="20" customHeight="1">
      <c r="A237" s="28" t="inlineStr">
        <is>
          <t>Июль</t>
        </is>
      </c>
      <c r="B237" s="28" t="n">
        <v>208</v>
      </c>
      <c r="C237" s="28" t="n">
        <v>27</v>
      </c>
      <c r="D237" s="29">
        <f>H236</f>
        <v/>
      </c>
      <c r="E237" s="30">
        <f>MIN('Дашборд и Сводка'!$C$9, ROUNDUP(D237/'Дашборд и Сводка'!$C$6, 0)*0.01)</f>
        <v/>
      </c>
      <c r="F237" s="45">
        <f>'Дашборд и Сводка'!$C$7</f>
        <v/>
      </c>
      <c r="G237" s="29">
        <f>E237*F237*'Дашборд и Сводка'!$C$8</f>
        <v/>
      </c>
      <c r="H237" s="29">
        <f>D237+G237</f>
        <v/>
      </c>
    </row>
    <row r="238" ht="20" customHeight="1">
      <c r="A238" s="33" t="inlineStr">
        <is>
          <t>Июль</t>
        </is>
      </c>
      <c r="B238" s="33" t="n">
        <v>209</v>
      </c>
      <c r="C238" s="33" t="n">
        <v>28</v>
      </c>
      <c r="D238" s="34">
        <f>H237</f>
        <v/>
      </c>
      <c r="E238" s="35">
        <f>MIN('Дашборд и Сводка'!$C$9, ROUNDUP(D238/'Дашборд и Сводка'!$C$6, 0)*0.01)</f>
        <v/>
      </c>
      <c r="F238" s="46">
        <f>'Дашборд и Сводка'!$C$7</f>
        <v/>
      </c>
      <c r="G238" s="34">
        <f>E238*F238*'Дашборд и Сводка'!$C$8</f>
        <v/>
      </c>
      <c r="H238" s="34">
        <f>D238+G238</f>
        <v/>
      </c>
    </row>
    <row r="239" ht="20" customHeight="1">
      <c r="A239" s="28" t="inlineStr">
        <is>
          <t>Июль</t>
        </is>
      </c>
      <c r="B239" s="28" t="n">
        <v>210</v>
      </c>
      <c r="C239" s="28" t="n">
        <v>29</v>
      </c>
      <c r="D239" s="29">
        <f>H238</f>
        <v/>
      </c>
      <c r="E239" s="30">
        <f>MIN('Дашборд и Сводка'!$C$9, ROUNDUP(D239/'Дашборд и Сводка'!$C$6, 0)*0.01)</f>
        <v/>
      </c>
      <c r="F239" s="45">
        <f>'Дашборд и Сводка'!$C$7</f>
        <v/>
      </c>
      <c r="G239" s="29">
        <f>E239*F239*'Дашборд и Сводка'!$C$8</f>
        <v/>
      </c>
      <c r="H239" s="29">
        <f>D239+G239</f>
        <v/>
      </c>
    </row>
    <row r="240" ht="20" customHeight="1">
      <c r="A240" s="33" t="inlineStr">
        <is>
          <t>Июль</t>
        </is>
      </c>
      <c r="B240" s="33" t="n">
        <v>211</v>
      </c>
      <c r="C240" s="33" t="n">
        <v>30</v>
      </c>
      <c r="D240" s="34">
        <f>H239</f>
        <v/>
      </c>
      <c r="E240" s="35">
        <f>MIN('Дашборд и Сводка'!$C$9, ROUNDUP(D240/'Дашборд и Сводка'!$C$6, 0)*0.01)</f>
        <v/>
      </c>
      <c r="F240" s="46">
        <f>'Дашборд и Сводка'!$C$7</f>
        <v/>
      </c>
      <c r="G240" s="34">
        <f>E240*F240*'Дашборд и Сводка'!$C$8</f>
        <v/>
      </c>
      <c r="H240" s="34">
        <f>D240+G240</f>
        <v/>
      </c>
    </row>
    <row r="241" ht="20" customHeight="1">
      <c r="A241" s="28" t="inlineStr">
        <is>
          <t>Июль</t>
        </is>
      </c>
      <c r="B241" s="28" t="n">
        <v>212</v>
      </c>
      <c r="C241" s="28" t="n">
        <v>31</v>
      </c>
      <c r="D241" s="29">
        <f>H240</f>
        <v/>
      </c>
      <c r="E241" s="30">
        <f>MIN('Дашборд и Сводка'!$C$9, ROUNDUP(D241/'Дашборд и Сводка'!$C$6, 0)*0.01)</f>
        <v/>
      </c>
      <c r="F241" s="45">
        <f>'Дашборд и Сводка'!$C$7</f>
        <v/>
      </c>
      <c r="G241" s="29">
        <f>E241*F241*'Дашборд и Сводка'!$C$8</f>
        <v/>
      </c>
      <c r="H241" s="29">
        <f>D241+G241</f>
        <v/>
      </c>
    </row>
    <row r="242" ht="24" customHeight="1">
      <c r="A242" s="56" t="inlineStr">
        <is>
          <t>ИТОГО ЗА ИЮЛЬ:</t>
        </is>
      </c>
      <c r="B242" s="48" t="n"/>
      <c r="C242" s="48" t="n"/>
      <c r="D242" s="57">
        <f>D211</f>
        <v/>
      </c>
      <c r="E242" s="58">
        <f>MAX(E211:E241)</f>
        <v/>
      </c>
      <c r="F242" s="59">
        <f>'Дашборд и Сводка'!$C$7</f>
        <v/>
      </c>
      <c r="G242" s="60">
        <f>SUM(G211:G241)</f>
        <v/>
      </c>
      <c r="H242" s="61">
        <f>H241</f>
        <v/>
      </c>
    </row>
    <row r="244" ht="26" customHeight="1">
      <c r="A244" s="55" t="inlineStr">
        <is>
          <t>МЕСЯЦ 8: АВГУСТ (31 торговых дней)</t>
        </is>
      </c>
    </row>
    <row r="245" ht="24" customHeight="1">
      <c r="A245" s="44" t="inlineStr">
        <is>
          <t>Месяц</t>
        </is>
      </c>
      <c r="B245" s="44" t="inlineStr">
        <is>
          <t>День года</t>
        </is>
      </c>
      <c r="C245" s="44" t="inlineStr">
        <is>
          <t>День месяца</t>
        </is>
      </c>
      <c r="D245" s="44" t="inlineStr">
        <is>
          <t>Начальный депозит ($)</t>
        </is>
      </c>
      <c r="E245" s="44" t="inlineStr">
        <is>
          <t>Размер лота</t>
        </is>
      </c>
      <c r="F245" s="44" t="inlineStr">
        <is>
          <t>Цель (пунктов)</t>
        </is>
      </c>
      <c r="G245" s="44" t="inlineStr">
        <is>
          <t>Прибыль за день ($)</t>
        </is>
      </c>
      <c r="H245" s="44" t="inlineStr">
        <is>
          <t>Итоговый баланс ($)</t>
        </is>
      </c>
    </row>
    <row r="246" ht="20" customHeight="1">
      <c r="A246" s="28" t="inlineStr">
        <is>
          <t>Август</t>
        </is>
      </c>
      <c r="B246" s="28" t="n">
        <v>213</v>
      </c>
      <c r="C246" s="28" t="n">
        <v>1</v>
      </c>
      <c r="D246" s="29">
        <f>H241</f>
        <v/>
      </c>
      <c r="E246" s="30">
        <f>MIN('Дашборд и Сводка'!$C$9, ROUNDUP(D246/'Дашборд и Сводка'!$C$6, 0)*0.01)</f>
        <v/>
      </c>
      <c r="F246" s="45">
        <f>'Дашборд и Сводка'!$C$7</f>
        <v/>
      </c>
      <c r="G246" s="29">
        <f>E246*F246*'Дашборд и Сводка'!$C$8</f>
        <v/>
      </c>
      <c r="H246" s="29">
        <f>D246+G246</f>
        <v/>
      </c>
    </row>
    <row r="247" ht="20" customHeight="1">
      <c r="A247" s="33" t="inlineStr">
        <is>
          <t>Август</t>
        </is>
      </c>
      <c r="B247" s="33" t="n">
        <v>214</v>
      </c>
      <c r="C247" s="33" t="n">
        <v>2</v>
      </c>
      <c r="D247" s="34">
        <f>H246</f>
        <v/>
      </c>
      <c r="E247" s="35">
        <f>MIN('Дашборд и Сводка'!$C$9, ROUNDUP(D247/'Дашборд и Сводка'!$C$6, 0)*0.01)</f>
        <v/>
      </c>
      <c r="F247" s="46">
        <f>'Дашборд и Сводка'!$C$7</f>
        <v/>
      </c>
      <c r="G247" s="34">
        <f>E247*F247*'Дашборд и Сводка'!$C$8</f>
        <v/>
      </c>
      <c r="H247" s="34">
        <f>D247+G247</f>
        <v/>
      </c>
    </row>
    <row r="248" ht="20" customHeight="1">
      <c r="A248" s="28" t="inlineStr">
        <is>
          <t>Август</t>
        </is>
      </c>
      <c r="B248" s="28" t="n">
        <v>215</v>
      </c>
      <c r="C248" s="28" t="n">
        <v>3</v>
      </c>
      <c r="D248" s="29">
        <f>H247</f>
        <v/>
      </c>
      <c r="E248" s="30">
        <f>MIN('Дашборд и Сводка'!$C$9, ROUNDUP(D248/'Дашборд и Сводка'!$C$6, 0)*0.01)</f>
        <v/>
      </c>
      <c r="F248" s="45">
        <f>'Дашборд и Сводка'!$C$7</f>
        <v/>
      </c>
      <c r="G248" s="29">
        <f>E248*F248*'Дашборд и Сводка'!$C$8</f>
        <v/>
      </c>
      <c r="H248" s="29">
        <f>D248+G248</f>
        <v/>
      </c>
    </row>
    <row r="249" ht="20" customHeight="1">
      <c r="A249" s="33" t="inlineStr">
        <is>
          <t>Август</t>
        </is>
      </c>
      <c r="B249" s="33" t="n">
        <v>216</v>
      </c>
      <c r="C249" s="33" t="n">
        <v>4</v>
      </c>
      <c r="D249" s="34">
        <f>H248</f>
        <v/>
      </c>
      <c r="E249" s="35">
        <f>MIN('Дашборд и Сводка'!$C$9, ROUNDUP(D249/'Дашборд и Сводка'!$C$6, 0)*0.01)</f>
        <v/>
      </c>
      <c r="F249" s="46">
        <f>'Дашборд и Сводка'!$C$7</f>
        <v/>
      </c>
      <c r="G249" s="34">
        <f>E249*F249*'Дашборд и Сводка'!$C$8</f>
        <v/>
      </c>
      <c r="H249" s="34">
        <f>D249+G249</f>
        <v/>
      </c>
    </row>
    <row r="250" ht="20" customHeight="1">
      <c r="A250" s="28" t="inlineStr">
        <is>
          <t>Август</t>
        </is>
      </c>
      <c r="B250" s="28" t="n">
        <v>217</v>
      </c>
      <c r="C250" s="28" t="n">
        <v>5</v>
      </c>
      <c r="D250" s="29">
        <f>H249</f>
        <v/>
      </c>
      <c r="E250" s="30">
        <f>MIN('Дашборд и Сводка'!$C$9, ROUNDUP(D250/'Дашборд и Сводка'!$C$6, 0)*0.01)</f>
        <v/>
      </c>
      <c r="F250" s="45">
        <f>'Дашборд и Сводка'!$C$7</f>
        <v/>
      </c>
      <c r="G250" s="29">
        <f>E250*F250*'Дашборд и Сводка'!$C$8</f>
        <v/>
      </c>
      <c r="H250" s="29">
        <f>D250+G250</f>
        <v/>
      </c>
    </row>
    <row r="251" ht="20" customHeight="1">
      <c r="A251" s="33" t="inlineStr">
        <is>
          <t>Август</t>
        </is>
      </c>
      <c r="B251" s="33" t="n">
        <v>218</v>
      </c>
      <c r="C251" s="33" t="n">
        <v>6</v>
      </c>
      <c r="D251" s="34">
        <f>H250</f>
        <v/>
      </c>
      <c r="E251" s="35">
        <f>MIN('Дашборд и Сводка'!$C$9, ROUNDUP(D251/'Дашборд и Сводка'!$C$6, 0)*0.01)</f>
        <v/>
      </c>
      <c r="F251" s="46">
        <f>'Дашборд и Сводка'!$C$7</f>
        <v/>
      </c>
      <c r="G251" s="34">
        <f>E251*F251*'Дашборд и Сводка'!$C$8</f>
        <v/>
      </c>
      <c r="H251" s="34">
        <f>D251+G251</f>
        <v/>
      </c>
    </row>
    <row r="252" ht="20" customHeight="1">
      <c r="A252" s="28" t="inlineStr">
        <is>
          <t>Август</t>
        </is>
      </c>
      <c r="B252" s="28" t="n">
        <v>219</v>
      </c>
      <c r="C252" s="28" t="n">
        <v>7</v>
      </c>
      <c r="D252" s="29">
        <f>H251</f>
        <v/>
      </c>
      <c r="E252" s="30">
        <f>MIN('Дашборд и Сводка'!$C$9, ROUNDUP(D252/'Дашборд и Сводка'!$C$6, 0)*0.01)</f>
        <v/>
      </c>
      <c r="F252" s="45">
        <f>'Дашборд и Сводка'!$C$7</f>
        <v/>
      </c>
      <c r="G252" s="29">
        <f>E252*F252*'Дашборд и Сводка'!$C$8</f>
        <v/>
      </c>
      <c r="H252" s="29">
        <f>D252+G252</f>
        <v/>
      </c>
    </row>
    <row r="253" ht="20" customHeight="1">
      <c r="A253" s="33" t="inlineStr">
        <is>
          <t>Август</t>
        </is>
      </c>
      <c r="B253" s="33" t="n">
        <v>220</v>
      </c>
      <c r="C253" s="33" t="n">
        <v>8</v>
      </c>
      <c r="D253" s="34">
        <f>H252</f>
        <v/>
      </c>
      <c r="E253" s="35">
        <f>MIN('Дашборд и Сводка'!$C$9, ROUNDUP(D253/'Дашборд и Сводка'!$C$6, 0)*0.01)</f>
        <v/>
      </c>
      <c r="F253" s="46">
        <f>'Дашборд и Сводка'!$C$7</f>
        <v/>
      </c>
      <c r="G253" s="34">
        <f>E253*F253*'Дашборд и Сводка'!$C$8</f>
        <v/>
      </c>
      <c r="H253" s="34">
        <f>D253+G253</f>
        <v/>
      </c>
    </row>
    <row r="254" ht="20" customHeight="1">
      <c r="A254" s="28" t="inlineStr">
        <is>
          <t>Август</t>
        </is>
      </c>
      <c r="B254" s="28" t="n">
        <v>221</v>
      </c>
      <c r="C254" s="28" t="n">
        <v>9</v>
      </c>
      <c r="D254" s="29">
        <f>H253</f>
        <v/>
      </c>
      <c r="E254" s="30">
        <f>MIN('Дашборд и Сводка'!$C$9, ROUNDUP(D254/'Дашборд и Сводка'!$C$6, 0)*0.01)</f>
        <v/>
      </c>
      <c r="F254" s="45">
        <f>'Дашборд и Сводка'!$C$7</f>
        <v/>
      </c>
      <c r="G254" s="29">
        <f>E254*F254*'Дашборд и Сводка'!$C$8</f>
        <v/>
      </c>
      <c r="H254" s="29">
        <f>D254+G254</f>
        <v/>
      </c>
    </row>
    <row r="255" ht="20" customHeight="1">
      <c r="A255" s="33" t="inlineStr">
        <is>
          <t>Август</t>
        </is>
      </c>
      <c r="B255" s="33" t="n">
        <v>222</v>
      </c>
      <c r="C255" s="33" t="n">
        <v>10</v>
      </c>
      <c r="D255" s="34">
        <f>H254</f>
        <v/>
      </c>
      <c r="E255" s="35">
        <f>MIN('Дашборд и Сводка'!$C$9, ROUNDUP(D255/'Дашборд и Сводка'!$C$6, 0)*0.01)</f>
        <v/>
      </c>
      <c r="F255" s="46">
        <f>'Дашборд и Сводка'!$C$7</f>
        <v/>
      </c>
      <c r="G255" s="34">
        <f>E255*F255*'Дашборд и Сводка'!$C$8</f>
        <v/>
      </c>
      <c r="H255" s="34">
        <f>D255+G255</f>
        <v/>
      </c>
    </row>
    <row r="256" ht="20" customHeight="1">
      <c r="A256" s="28" t="inlineStr">
        <is>
          <t>Август</t>
        </is>
      </c>
      <c r="B256" s="28" t="n">
        <v>223</v>
      </c>
      <c r="C256" s="28" t="n">
        <v>11</v>
      </c>
      <c r="D256" s="29">
        <f>H255</f>
        <v/>
      </c>
      <c r="E256" s="30">
        <f>MIN('Дашборд и Сводка'!$C$9, ROUNDUP(D256/'Дашборд и Сводка'!$C$6, 0)*0.01)</f>
        <v/>
      </c>
      <c r="F256" s="45">
        <f>'Дашборд и Сводка'!$C$7</f>
        <v/>
      </c>
      <c r="G256" s="29">
        <f>E256*F256*'Дашборд и Сводка'!$C$8</f>
        <v/>
      </c>
      <c r="H256" s="29">
        <f>D256+G256</f>
        <v/>
      </c>
    </row>
    <row r="257" ht="20" customHeight="1">
      <c r="A257" s="33" t="inlineStr">
        <is>
          <t>Август</t>
        </is>
      </c>
      <c r="B257" s="33" t="n">
        <v>224</v>
      </c>
      <c r="C257" s="33" t="n">
        <v>12</v>
      </c>
      <c r="D257" s="34">
        <f>H256</f>
        <v/>
      </c>
      <c r="E257" s="35">
        <f>MIN('Дашборд и Сводка'!$C$9, ROUNDUP(D257/'Дашборд и Сводка'!$C$6, 0)*0.01)</f>
        <v/>
      </c>
      <c r="F257" s="46">
        <f>'Дашборд и Сводка'!$C$7</f>
        <v/>
      </c>
      <c r="G257" s="34">
        <f>E257*F257*'Дашборд и Сводка'!$C$8</f>
        <v/>
      </c>
      <c r="H257" s="34">
        <f>D257+G257</f>
        <v/>
      </c>
    </row>
    <row r="258" ht="20" customHeight="1">
      <c r="A258" s="28" t="inlineStr">
        <is>
          <t>Август</t>
        </is>
      </c>
      <c r="B258" s="28" t="n">
        <v>225</v>
      </c>
      <c r="C258" s="28" t="n">
        <v>13</v>
      </c>
      <c r="D258" s="29">
        <f>H257</f>
        <v/>
      </c>
      <c r="E258" s="30">
        <f>MIN('Дашборд и Сводка'!$C$9, ROUNDUP(D258/'Дашборд и Сводка'!$C$6, 0)*0.01)</f>
        <v/>
      </c>
      <c r="F258" s="45">
        <f>'Дашборд и Сводка'!$C$7</f>
        <v/>
      </c>
      <c r="G258" s="29">
        <f>E258*F258*'Дашборд и Сводка'!$C$8</f>
        <v/>
      </c>
      <c r="H258" s="29">
        <f>D258+G258</f>
        <v/>
      </c>
    </row>
    <row r="259" ht="20" customHeight="1">
      <c r="A259" s="33" t="inlineStr">
        <is>
          <t>Август</t>
        </is>
      </c>
      <c r="B259" s="33" t="n">
        <v>226</v>
      </c>
      <c r="C259" s="33" t="n">
        <v>14</v>
      </c>
      <c r="D259" s="34">
        <f>H258</f>
        <v/>
      </c>
      <c r="E259" s="35">
        <f>MIN('Дашборд и Сводка'!$C$9, ROUNDUP(D259/'Дашборд и Сводка'!$C$6, 0)*0.01)</f>
        <v/>
      </c>
      <c r="F259" s="46">
        <f>'Дашборд и Сводка'!$C$7</f>
        <v/>
      </c>
      <c r="G259" s="34">
        <f>E259*F259*'Дашборд и Сводка'!$C$8</f>
        <v/>
      </c>
      <c r="H259" s="34">
        <f>D259+G259</f>
        <v/>
      </c>
    </row>
    <row r="260" ht="20" customHeight="1">
      <c r="A260" s="28" t="inlineStr">
        <is>
          <t>Август</t>
        </is>
      </c>
      <c r="B260" s="28" t="n">
        <v>227</v>
      </c>
      <c r="C260" s="28" t="n">
        <v>15</v>
      </c>
      <c r="D260" s="29">
        <f>H259</f>
        <v/>
      </c>
      <c r="E260" s="30">
        <f>MIN('Дашборд и Сводка'!$C$9, ROUNDUP(D260/'Дашборд и Сводка'!$C$6, 0)*0.01)</f>
        <v/>
      </c>
      <c r="F260" s="45">
        <f>'Дашборд и Сводка'!$C$7</f>
        <v/>
      </c>
      <c r="G260" s="29">
        <f>E260*F260*'Дашборд и Сводка'!$C$8</f>
        <v/>
      </c>
      <c r="H260" s="29">
        <f>D260+G260</f>
        <v/>
      </c>
    </row>
    <row r="261" ht="20" customHeight="1">
      <c r="A261" s="33" t="inlineStr">
        <is>
          <t>Август</t>
        </is>
      </c>
      <c r="B261" s="33" t="n">
        <v>228</v>
      </c>
      <c r="C261" s="33" t="n">
        <v>16</v>
      </c>
      <c r="D261" s="34">
        <f>H260</f>
        <v/>
      </c>
      <c r="E261" s="35">
        <f>MIN('Дашборд и Сводка'!$C$9, ROUNDUP(D261/'Дашборд и Сводка'!$C$6, 0)*0.01)</f>
        <v/>
      </c>
      <c r="F261" s="46">
        <f>'Дашборд и Сводка'!$C$7</f>
        <v/>
      </c>
      <c r="G261" s="34">
        <f>E261*F261*'Дашборд и Сводка'!$C$8</f>
        <v/>
      </c>
      <c r="H261" s="34">
        <f>D261+G261</f>
        <v/>
      </c>
    </row>
    <row r="262" ht="20" customHeight="1">
      <c r="A262" s="28" t="inlineStr">
        <is>
          <t>Август</t>
        </is>
      </c>
      <c r="B262" s="28" t="n">
        <v>229</v>
      </c>
      <c r="C262" s="28" t="n">
        <v>17</v>
      </c>
      <c r="D262" s="29">
        <f>H261</f>
        <v/>
      </c>
      <c r="E262" s="30">
        <f>MIN('Дашборд и Сводка'!$C$9, ROUNDUP(D262/'Дашборд и Сводка'!$C$6, 0)*0.01)</f>
        <v/>
      </c>
      <c r="F262" s="45">
        <f>'Дашборд и Сводка'!$C$7</f>
        <v/>
      </c>
      <c r="G262" s="29">
        <f>E262*F262*'Дашборд и Сводка'!$C$8</f>
        <v/>
      </c>
      <c r="H262" s="29">
        <f>D262+G262</f>
        <v/>
      </c>
    </row>
    <row r="263" ht="20" customHeight="1">
      <c r="A263" s="33" t="inlineStr">
        <is>
          <t>Август</t>
        </is>
      </c>
      <c r="B263" s="33" t="n">
        <v>230</v>
      </c>
      <c r="C263" s="33" t="n">
        <v>18</v>
      </c>
      <c r="D263" s="34">
        <f>H262</f>
        <v/>
      </c>
      <c r="E263" s="35">
        <f>MIN('Дашборд и Сводка'!$C$9, ROUNDUP(D263/'Дашборд и Сводка'!$C$6, 0)*0.01)</f>
        <v/>
      </c>
      <c r="F263" s="46">
        <f>'Дашборд и Сводка'!$C$7</f>
        <v/>
      </c>
      <c r="G263" s="34">
        <f>E263*F263*'Дашборд и Сводка'!$C$8</f>
        <v/>
      </c>
      <c r="H263" s="34">
        <f>D263+G263</f>
        <v/>
      </c>
    </row>
    <row r="264" ht="20" customHeight="1">
      <c r="A264" s="28" t="inlineStr">
        <is>
          <t>Август</t>
        </is>
      </c>
      <c r="B264" s="28" t="n">
        <v>231</v>
      </c>
      <c r="C264" s="28" t="n">
        <v>19</v>
      </c>
      <c r="D264" s="29">
        <f>H263</f>
        <v/>
      </c>
      <c r="E264" s="30">
        <f>MIN('Дашборд и Сводка'!$C$9, ROUNDUP(D264/'Дашборд и Сводка'!$C$6, 0)*0.01)</f>
        <v/>
      </c>
      <c r="F264" s="45">
        <f>'Дашборд и Сводка'!$C$7</f>
        <v/>
      </c>
      <c r="G264" s="29">
        <f>E264*F264*'Дашборд и Сводка'!$C$8</f>
        <v/>
      </c>
      <c r="H264" s="29">
        <f>D264+G264</f>
        <v/>
      </c>
    </row>
    <row r="265" ht="20" customHeight="1">
      <c r="A265" s="33" t="inlineStr">
        <is>
          <t>Август</t>
        </is>
      </c>
      <c r="B265" s="33" t="n">
        <v>232</v>
      </c>
      <c r="C265" s="33" t="n">
        <v>20</v>
      </c>
      <c r="D265" s="34">
        <f>H264</f>
        <v/>
      </c>
      <c r="E265" s="35">
        <f>MIN('Дашборд и Сводка'!$C$9, ROUNDUP(D265/'Дашборд и Сводка'!$C$6, 0)*0.01)</f>
        <v/>
      </c>
      <c r="F265" s="46">
        <f>'Дашборд и Сводка'!$C$7</f>
        <v/>
      </c>
      <c r="G265" s="34">
        <f>E265*F265*'Дашборд и Сводка'!$C$8</f>
        <v/>
      </c>
      <c r="H265" s="34">
        <f>D265+G265</f>
        <v/>
      </c>
    </row>
    <row r="266" ht="20" customHeight="1">
      <c r="A266" s="28" t="inlineStr">
        <is>
          <t>Август</t>
        </is>
      </c>
      <c r="B266" s="28" t="n">
        <v>233</v>
      </c>
      <c r="C266" s="28" t="n">
        <v>21</v>
      </c>
      <c r="D266" s="29">
        <f>H265</f>
        <v/>
      </c>
      <c r="E266" s="30">
        <f>MIN('Дашборд и Сводка'!$C$9, ROUNDUP(D266/'Дашборд и Сводка'!$C$6, 0)*0.01)</f>
        <v/>
      </c>
      <c r="F266" s="45">
        <f>'Дашборд и Сводка'!$C$7</f>
        <v/>
      </c>
      <c r="G266" s="29">
        <f>E266*F266*'Дашборд и Сводка'!$C$8</f>
        <v/>
      </c>
      <c r="H266" s="29">
        <f>D266+G266</f>
        <v/>
      </c>
    </row>
    <row r="267" ht="20" customHeight="1">
      <c r="A267" s="33" t="inlineStr">
        <is>
          <t>Август</t>
        </is>
      </c>
      <c r="B267" s="33" t="n">
        <v>234</v>
      </c>
      <c r="C267" s="33" t="n">
        <v>22</v>
      </c>
      <c r="D267" s="34">
        <f>H266</f>
        <v/>
      </c>
      <c r="E267" s="35">
        <f>MIN('Дашборд и Сводка'!$C$9, ROUNDUP(D267/'Дашборд и Сводка'!$C$6, 0)*0.01)</f>
        <v/>
      </c>
      <c r="F267" s="46">
        <f>'Дашборд и Сводка'!$C$7</f>
        <v/>
      </c>
      <c r="G267" s="34">
        <f>E267*F267*'Дашборд и Сводка'!$C$8</f>
        <v/>
      </c>
      <c r="H267" s="34">
        <f>D267+G267</f>
        <v/>
      </c>
    </row>
    <row r="268" ht="20" customHeight="1">
      <c r="A268" s="28" t="inlineStr">
        <is>
          <t>Август</t>
        </is>
      </c>
      <c r="B268" s="28" t="n">
        <v>235</v>
      </c>
      <c r="C268" s="28" t="n">
        <v>23</v>
      </c>
      <c r="D268" s="29">
        <f>H267</f>
        <v/>
      </c>
      <c r="E268" s="30">
        <f>MIN('Дашборд и Сводка'!$C$9, ROUNDUP(D268/'Дашборд и Сводка'!$C$6, 0)*0.01)</f>
        <v/>
      </c>
      <c r="F268" s="45">
        <f>'Дашборд и Сводка'!$C$7</f>
        <v/>
      </c>
      <c r="G268" s="29">
        <f>E268*F268*'Дашборд и Сводка'!$C$8</f>
        <v/>
      </c>
      <c r="H268" s="29">
        <f>D268+G268</f>
        <v/>
      </c>
    </row>
    <row r="269" ht="20" customHeight="1">
      <c r="A269" s="33" t="inlineStr">
        <is>
          <t>Август</t>
        </is>
      </c>
      <c r="B269" s="33" t="n">
        <v>236</v>
      </c>
      <c r="C269" s="33" t="n">
        <v>24</v>
      </c>
      <c r="D269" s="34">
        <f>H268</f>
        <v/>
      </c>
      <c r="E269" s="35">
        <f>MIN('Дашборд и Сводка'!$C$9, ROUNDUP(D269/'Дашборд и Сводка'!$C$6, 0)*0.01)</f>
        <v/>
      </c>
      <c r="F269" s="46">
        <f>'Дашборд и Сводка'!$C$7</f>
        <v/>
      </c>
      <c r="G269" s="34">
        <f>E269*F269*'Дашборд и Сводка'!$C$8</f>
        <v/>
      </c>
      <c r="H269" s="34">
        <f>D269+G269</f>
        <v/>
      </c>
    </row>
    <row r="270" ht="20" customHeight="1">
      <c r="A270" s="28" t="inlineStr">
        <is>
          <t>Август</t>
        </is>
      </c>
      <c r="B270" s="28" t="n">
        <v>237</v>
      </c>
      <c r="C270" s="28" t="n">
        <v>25</v>
      </c>
      <c r="D270" s="29">
        <f>H269</f>
        <v/>
      </c>
      <c r="E270" s="30">
        <f>MIN('Дашборд и Сводка'!$C$9, ROUNDUP(D270/'Дашборд и Сводка'!$C$6, 0)*0.01)</f>
        <v/>
      </c>
      <c r="F270" s="45">
        <f>'Дашборд и Сводка'!$C$7</f>
        <v/>
      </c>
      <c r="G270" s="29">
        <f>E270*F270*'Дашборд и Сводка'!$C$8</f>
        <v/>
      </c>
      <c r="H270" s="29">
        <f>D270+G270</f>
        <v/>
      </c>
    </row>
    <row r="271" ht="20" customHeight="1">
      <c r="A271" s="33" t="inlineStr">
        <is>
          <t>Август</t>
        </is>
      </c>
      <c r="B271" s="33" t="n">
        <v>238</v>
      </c>
      <c r="C271" s="33" t="n">
        <v>26</v>
      </c>
      <c r="D271" s="34">
        <f>H270</f>
        <v/>
      </c>
      <c r="E271" s="35">
        <f>MIN('Дашборд и Сводка'!$C$9, ROUNDUP(D271/'Дашборд и Сводка'!$C$6, 0)*0.01)</f>
        <v/>
      </c>
      <c r="F271" s="46">
        <f>'Дашборд и Сводка'!$C$7</f>
        <v/>
      </c>
      <c r="G271" s="34">
        <f>E271*F271*'Дашборд и Сводка'!$C$8</f>
        <v/>
      </c>
      <c r="H271" s="34">
        <f>D271+G271</f>
        <v/>
      </c>
    </row>
    <row r="272" ht="20" customHeight="1">
      <c r="A272" s="28" t="inlineStr">
        <is>
          <t>Август</t>
        </is>
      </c>
      <c r="B272" s="28" t="n">
        <v>239</v>
      </c>
      <c r="C272" s="28" t="n">
        <v>27</v>
      </c>
      <c r="D272" s="29">
        <f>H271</f>
        <v/>
      </c>
      <c r="E272" s="30">
        <f>MIN('Дашборд и Сводка'!$C$9, ROUNDUP(D272/'Дашборд и Сводка'!$C$6, 0)*0.01)</f>
        <v/>
      </c>
      <c r="F272" s="45">
        <f>'Дашборд и Сводка'!$C$7</f>
        <v/>
      </c>
      <c r="G272" s="29">
        <f>E272*F272*'Дашборд и Сводка'!$C$8</f>
        <v/>
      </c>
      <c r="H272" s="29">
        <f>D272+G272</f>
        <v/>
      </c>
    </row>
    <row r="273" ht="20" customHeight="1">
      <c r="A273" s="33" t="inlineStr">
        <is>
          <t>Август</t>
        </is>
      </c>
      <c r="B273" s="33" t="n">
        <v>240</v>
      </c>
      <c r="C273" s="33" t="n">
        <v>28</v>
      </c>
      <c r="D273" s="34">
        <f>H272</f>
        <v/>
      </c>
      <c r="E273" s="35">
        <f>MIN('Дашборд и Сводка'!$C$9, ROUNDUP(D273/'Дашборд и Сводка'!$C$6, 0)*0.01)</f>
        <v/>
      </c>
      <c r="F273" s="46">
        <f>'Дашборд и Сводка'!$C$7</f>
        <v/>
      </c>
      <c r="G273" s="34">
        <f>E273*F273*'Дашборд и Сводка'!$C$8</f>
        <v/>
      </c>
      <c r="H273" s="34">
        <f>D273+G273</f>
        <v/>
      </c>
    </row>
    <row r="274" ht="20" customHeight="1">
      <c r="A274" s="28" t="inlineStr">
        <is>
          <t>Август</t>
        </is>
      </c>
      <c r="B274" s="28" t="n">
        <v>241</v>
      </c>
      <c r="C274" s="28" t="n">
        <v>29</v>
      </c>
      <c r="D274" s="29">
        <f>H273</f>
        <v/>
      </c>
      <c r="E274" s="30">
        <f>MIN('Дашборд и Сводка'!$C$9, ROUNDUP(D274/'Дашборд и Сводка'!$C$6, 0)*0.01)</f>
        <v/>
      </c>
      <c r="F274" s="45">
        <f>'Дашборд и Сводка'!$C$7</f>
        <v/>
      </c>
      <c r="G274" s="29">
        <f>E274*F274*'Дашборд и Сводка'!$C$8</f>
        <v/>
      </c>
      <c r="H274" s="29">
        <f>D274+G274</f>
        <v/>
      </c>
    </row>
    <row r="275" ht="20" customHeight="1">
      <c r="A275" s="33" t="inlineStr">
        <is>
          <t>Август</t>
        </is>
      </c>
      <c r="B275" s="33" t="n">
        <v>242</v>
      </c>
      <c r="C275" s="33" t="n">
        <v>30</v>
      </c>
      <c r="D275" s="34">
        <f>H274</f>
        <v/>
      </c>
      <c r="E275" s="35">
        <f>MIN('Дашборд и Сводка'!$C$9, ROUNDUP(D275/'Дашборд и Сводка'!$C$6, 0)*0.01)</f>
        <v/>
      </c>
      <c r="F275" s="46">
        <f>'Дашборд и Сводка'!$C$7</f>
        <v/>
      </c>
      <c r="G275" s="34">
        <f>E275*F275*'Дашборд и Сводка'!$C$8</f>
        <v/>
      </c>
      <c r="H275" s="34">
        <f>D275+G275</f>
        <v/>
      </c>
    </row>
    <row r="276" ht="20" customHeight="1">
      <c r="A276" s="28" t="inlineStr">
        <is>
          <t>Август</t>
        </is>
      </c>
      <c r="B276" s="28" t="n">
        <v>243</v>
      </c>
      <c r="C276" s="28" t="n">
        <v>31</v>
      </c>
      <c r="D276" s="29">
        <f>H275</f>
        <v/>
      </c>
      <c r="E276" s="30">
        <f>MIN('Дашборд и Сводка'!$C$9, ROUNDUP(D276/'Дашборд и Сводка'!$C$6, 0)*0.01)</f>
        <v/>
      </c>
      <c r="F276" s="45">
        <f>'Дашборд и Сводка'!$C$7</f>
        <v/>
      </c>
      <c r="G276" s="29">
        <f>E276*F276*'Дашборд и Сводка'!$C$8</f>
        <v/>
      </c>
      <c r="H276" s="29">
        <f>D276+G276</f>
        <v/>
      </c>
    </row>
    <row r="277" ht="24" customHeight="1">
      <c r="A277" s="56" t="inlineStr">
        <is>
          <t>ИТОГО ЗА АВГУСТ:</t>
        </is>
      </c>
      <c r="B277" s="48" t="n"/>
      <c r="C277" s="48" t="n"/>
      <c r="D277" s="57">
        <f>D246</f>
        <v/>
      </c>
      <c r="E277" s="58">
        <f>MAX(E246:E276)</f>
        <v/>
      </c>
      <c r="F277" s="59">
        <f>'Дашборд и Сводка'!$C$7</f>
        <v/>
      </c>
      <c r="G277" s="60">
        <f>SUM(G246:G276)</f>
        <v/>
      </c>
      <c r="H277" s="61">
        <f>H276</f>
        <v/>
      </c>
    </row>
    <row r="279" ht="26" customHeight="1">
      <c r="A279" s="55" t="inlineStr">
        <is>
          <t>МЕСЯЦ 9: СЕНТЯБРЬ (30 торговых дней)</t>
        </is>
      </c>
    </row>
    <row r="280" ht="24" customHeight="1">
      <c r="A280" s="44" t="inlineStr">
        <is>
          <t>Месяц</t>
        </is>
      </c>
      <c r="B280" s="44" t="inlineStr">
        <is>
          <t>День года</t>
        </is>
      </c>
      <c r="C280" s="44" t="inlineStr">
        <is>
          <t>День месяца</t>
        </is>
      </c>
      <c r="D280" s="44" t="inlineStr">
        <is>
          <t>Начальный депозит ($)</t>
        </is>
      </c>
      <c r="E280" s="44" t="inlineStr">
        <is>
          <t>Размер лота</t>
        </is>
      </c>
      <c r="F280" s="44" t="inlineStr">
        <is>
          <t>Цель (пунктов)</t>
        </is>
      </c>
      <c r="G280" s="44" t="inlineStr">
        <is>
          <t>Прибыль за день ($)</t>
        </is>
      </c>
      <c r="H280" s="44" t="inlineStr">
        <is>
          <t>Итоговый баланс ($)</t>
        </is>
      </c>
    </row>
    <row r="281" ht="20" customHeight="1">
      <c r="A281" s="28" t="inlineStr">
        <is>
          <t>Сентябрь</t>
        </is>
      </c>
      <c r="B281" s="28" t="n">
        <v>244</v>
      </c>
      <c r="C281" s="28" t="n">
        <v>1</v>
      </c>
      <c r="D281" s="29">
        <f>H276</f>
        <v/>
      </c>
      <c r="E281" s="30">
        <f>MIN('Дашборд и Сводка'!$C$9, ROUNDUP(D281/'Дашборд и Сводка'!$C$6, 0)*0.01)</f>
        <v/>
      </c>
      <c r="F281" s="45">
        <f>'Дашборд и Сводка'!$C$7</f>
        <v/>
      </c>
      <c r="G281" s="29">
        <f>E281*F281*'Дашборд и Сводка'!$C$8</f>
        <v/>
      </c>
      <c r="H281" s="29">
        <f>D281+G281</f>
        <v/>
      </c>
    </row>
    <row r="282" ht="20" customHeight="1">
      <c r="A282" s="33" t="inlineStr">
        <is>
          <t>Сентябрь</t>
        </is>
      </c>
      <c r="B282" s="33" t="n">
        <v>245</v>
      </c>
      <c r="C282" s="33" t="n">
        <v>2</v>
      </c>
      <c r="D282" s="34">
        <f>H281</f>
        <v/>
      </c>
      <c r="E282" s="35">
        <f>MIN('Дашборд и Сводка'!$C$9, ROUNDUP(D282/'Дашборд и Сводка'!$C$6, 0)*0.01)</f>
        <v/>
      </c>
      <c r="F282" s="46">
        <f>'Дашборд и Сводка'!$C$7</f>
        <v/>
      </c>
      <c r="G282" s="34">
        <f>E282*F282*'Дашборд и Сводка'!$C$8</f>
        <v/>
      </c>
      <c r="H282" s="34">
        <f>D282+G282</f>
        <v/>
      </c>
    </row>
    <row r="283" ht="20" customHeight="1">
      <c r="A283" s="28" t="inlineStr">
        <is>
          <t>Сентябрь</t>
        </is>
      </c>
      <c r="B283" s="28" t="n">
        <v>246</v>
      </c>
      <c r="C283" s="28" t="n">
        <v>3</v>
      </c>
      <c r="D283" s="29">
        <f>H282</f>
        <v/>
      </c>
      <c r="E283" s="30">
        <f>MIN('Дашборд и Сводка'!$C$9, ROUNDUP(D283/'Дашборд и Сводка'!$C$6, 0)*0.01)</f>
        <v/>
      </c>
      <c r="F283" s="45">
        <f>'Дашборд и Сводка'!$C$7</f>
        <v/>
      </c>
      <c r="G283" s="29">
        <f>E283*F283*'Дашборд и Сводка'!$C$8</f>
        <v/>
      </c>
      <c r="H283" s="29">
        <f>D283+G283</f>
        <v/>
      </c>
    </row>
    <row r="284" ht="20" customHeight="1">
      <c r="A284" s="33" t="inlineStr">
        <is>
          <t>Сентябрь</t>
        </is>
      </c>
      <c r="B284" s="33" t="n">
        <v>247</v>
      </c>
      <c r="C284" s="33" t="n">
        <v>4</v>
      </c>
      <c r="D284" s="34">
        <f>H283</f>
        <v/>
      </c>
      <c r="E284" s="35">
        <f>MIN('Дашборд и Сводка'!$C$9, ROUNDUP(D284/'Дашборд и Сводка'!$C$6, 0)*0.01)</f>
        <v/>
      </c>
      <c r="F284" s="46">
        <f>'Дашборд и Сводка'!$C$7</f>
        <v/>
      </c>
      <c r="G284" s="34">
        <f>E284*F284*'Дашборд и Сводка'!$C$8</f>
        <v/>
      </c>
      <c r="H284" s="34">
        <f>D284+G284</f>
        <v/>
      </c>
    </row>
    <row r="285" ht="20" customHeight="1">
      <c r="A285" s="28" t="inlineStr">
        <is>
          <t>Сентябрь</t>
        </is>
      </c>
      <c r="B285" s="28" t="n">
        <v>248</v>
      </c>
      <c r="C285" s="28" t="n">
        <v>5</v>
      </c>
      <c r="D285" s="29">
        <f>H284</f>
        <v/>
      </c>
      <c r="E285" s="30">
        <f>MIN('Дашборд и Сводка'!$C$9, ROUNDUP(D285/'Дашборд и Сводка'!$C$6, 0)*0.01)</f>
        <v/>
      </c>
      <c r="F285" s="45">
        <f>'Дашборд и Сводка'!$C$7</f>
        <v/>
      </c>
      <c r="G285" s="29">
        <f>E285*F285*'Дашборд и Сводка'!$C$8</f>
        <v/>
      </c>
      <c r="H285" s="29">
        <f>D285+G285</f>
        <v/>
      </c>
    </row>
    <row r="286" ht="20" customHeight="1">
      <c r="A286" s="33" t="inlineStr">
        <is>
          <t>Сентябрь</t>
        </is>
      </c>
      <c r="B286" s="33" t="n">
        <v>249</v>
      </c>
      <c r="C286" s="33" t="n">
        <v>6</v>
      </c>
      <c r="D286" s="34">
        <f>H285</f>
        <v/>
      </c>
      <c r="E286" s="35">
        <f>MIN('Дашборд и Сводка'!$C$9, ROUNDUP(D286/'Дашборд и Сводка'!$C$6, 0)*0.01)</f>
        <v/>
      </c>
      <c r="F286" s="46">
        <f>'Дашборд и Сводка'!$C$7</f>
        <v/>
      </c>
      <c r="G286" s="34">
        <f>E286*F286*'Дашборд и Сводка'!$C$8</f>
        <v/>
      </c>
      <c r="H286" s="34">
        <f>D286+G286</f>
        <v/>
      </c>
    </row>
    <row r="287" ht="20" customHeight="1">
      <c r="A287" s="28" t="inlineStr">
        <is>
          <t>Сентябрь</t>
        </is>
      </c>
      <c r="B287" s="28" t="n">
        <v>250</v>
      </c>
      <c r="C287" s="28" t="n">
        <v>7</v>
      </c>
      <c r="D287" s="29">
        <f>H286</f>
        <v/>
      </c>
      <c r="E287" s="30">
        <f>MIN('Дашборд и Сводка'!$C$9, ROUNDUP(D287/'Дашборд и Сводка'!$C$6, 0)*0.01)</f>
        <v/>
      </c>
      <c r="F287" s="45">
        <f>'Дашборд и Сводка'!$C$7</f>
        <v/>
      </c>
      <c r="G287" s="29">
        <f>E287*F287*'Дашборд и Сводка'!$C$8</f>
        <v/>
      </c>
      <c r="H287" s="29">
        <f>D287+G287</f>
        <v/>
      </c>
    </row>
    <row r="288" ht="20" customHeight="1">
      <c r="A288" s="33" t="inlineStr">
        <is>
          <t>Сентябрь</t>
        </is>
      </c>
      <c r="B288" s="33" t="n">
        <v>251</v>
      </c>
      <c r="C288" s="33" t="n">
        <v>8</v>
      </c>
      <c r="D288" s="34">
        <f>H287</f>
        <v/>
      </c>
      <c r="E288" s="35">
        <f>MIN('Дашборд и Сводка'!$C$9, ROUNDUP(D288/'Дашборд и Сводка'!$C$6, 0)*0.01)</f>
        <v/>
      </c>
      <c r="F288" s="46">
        <f>'Дашборд и Сводка'!$C$7</f>
        <v/>
      </c>
      <c r="G288" s="34">
        <f>E288*F288*'Дашборд и Сводка'!$C$8</f>
        <v/>
      </c>
      <c r="H288" s="34">
        <f>D288+G288</f>
        <v/>
      </c>
    </row>
    <row r="289" ht="20" customHeight="1">
      <c r="A289" s="28" t="inlineStr">
        <is>
          <t>Сентябрь</t>
        </is>
      </c>
      <c r="B289" s="28" t="n">
        <v>252</v>
      </c>
      <c r="C289" s="28" t="n">
        <v>9</v>
      </c>
      <c r="D289" s="29">
        <f>H288</f>
        <v/>
      </c>
      <c r="E289" s="30">
        <f>MIN('Дашборд и Сводка'!$C$9, ROUNDUP(D289/'Дашборд и Сводка'!$C$6, 0)*0.01)</f>
        <v/>
      </c>
      <c r="F289" s="45">
        <f>'Дашборд и Сводка'!$C$7</f>
        <v/>
      </c>
      <c r="G289" s="29">
        <f>E289*F289*'Дашборд и Сводка'!$C$8</f>
        <v/>
      </c>
      <c r="H289" s="29">
        <f>D289+G289</f>
        <v/>
      </c>
    </row>
    <row r="290" ht="20" customHeight="1">
      <c r="A290" s="33" t="inlineStr">
        <is>
          <t>Сентябрь</t>
        </is>
      </c>
      <c r="B290" s="33" t="n">
        <v>253</v>
      </c>
      <c r="C290" s="33" t="n">
        <v>10</v>
      </c>
      <c r="D290" s="34">
        <f>H289</f>
        <v/>
      </c>
      <c r="E290" s="35">
        <f>MIN('Дашборд и Сводка'!$C$9, ROUNDUP(D290/'Дашборд и Сводка'!$C$6, 0)*0.01)</f>
        <v/>
      </c>
      <c r="F290" s="46">
        <f>'Дашборд и Сводка'!$C$7</f>
        <v/>
      </c>
      <c r="G290" s="34">
        <f>E290*F290*'Дашборд и Сводка'!$C$8</f>
        <v/>
      </c>
      <c r="H290" s="34">
        <f>D290+G290</f>
        <v/>
      </c>
    </row>
    <row r="291" ht="20" customHeight="1">
      <c r="A291" s="28" t="inlineStr">
        <is>
          <t>Сентябрь</t>
        </is>
      </c>
      <c r="B291" s="28" t="n">
        <v>254</v>
      </c>
      <c r="C291" s="28" t="n">
        <v>11</v>
      </c>
      <c r="D291" s="29">
        <f>H290</f>
        <v/>
      </c>
      <c r="E291" s="30">
        <f>MIN('Дашборд и Сводка'!$C$9, ROUNDUP(D291/'Дашборд и Сводка'!$C$6, 0)*0.01)</f>
        <v/>
      </c>
      <c r="F291" s="45">
        <f>'Дашборд и Сводка'!$C$7</f>
        <v/>
      </c>
      <c r="G291" s="29">
        <f>E291*F291*'Дашборд и Сводка'!$C$8</f>
        <v/>
      </c>
      <c r="H291" s="29">
        <f>D291+G291</f>
        <v/>
      </c>
    </row>
    <row r="292" ht="20" customHeight="1">
      <c r="A292" s="33" t="inlineStr">
        <is>
          <t>Сентябрь</t>
        </is>
      </c>
      <c r="B292" s="33" t="n">
        <v>255</v>
      </c>
      <c r="C292" s="33" t="n">
        <v>12</v>
      </c>
      <c r="D292" s="34">
        <f>H291</f>
        <v/>
      </c>
      <c r="E292" s="35">
        <f>MIN('Дашборд и Сводка'!$C$9, ROUNDUP(D292/'Дашборд и Сводка'!$C$6, 0)*0.01)</f>
        <v/>
      </c>
      <c r="F292" s="46">
        <f>'Дашборд и Сводка'!$C$7</f>
        <v/>
      </c>
      <c r="G292" s="34">
        <f>E292*F292*'Дашборд и Сводка'!$C$8</f>
        <v/>
      </c>
      <c r="H292" s="34">
        <f>D292+G292</f>
        <v/>
      </c>
    </row>
    <row r="293" ht="20" customHeight="1">
      <c r="A293" s="28" t="inlineStr">
        <is>
          <t>Сентябрь</t>
        </is>
      </c>
      <c r="B293" s="28" t="n">
        <v>256</v>
      </c>
      <c r="C293" s="28" t="n">
        <v>13</v>
      </c>
      <c r="D293" s="29">
        <f>H292</f>
        <v/>
      </c>
      <c r="E293" s="30">
        <f>MIN('Дашборд и Сводка'!$C$9, ROUNDUP(D293/'Дашборд и Сводка'!$C$6, 0)*0.01)</f>
        <v/>
      </c>
      <c r="F293" s="45">
        <f>'Дашборд и Сводка'!$C$7</f>
        <v/>
      </c>
      <c r="G293" s="29">
        <f>E293*F293*'Дашборд и Сводка'!$C$8</f>
        <v/>
      </c>
      <c r="H293" s="29">
        <f>D293+G293</f>
        <v/>
      </c>
    </row>
    <row r="294" ht="20" customHeight="1">
      <c r="A294" s="33" t="inlineStr">
        <is>
          <t>Сентябрь</t>
        </is>
      </c>
      <c r="B294" s="33" t="n">
        <v>257</v>
      </c>
      <c r="C294" s="33" t="n">
        <v>14</v>
      </c>
      <c r="D294" s="34">
        <f>H293</f>
        <v/>
      </c>
      <c r="E294" s="35">
        <f>MIN('Дашборд и Сводка'!$C$9, ROUNDUP(D294/'Дашборд и Сводка'!$C$6, 0)*0.01)</f>
        <v/>
      </c>
      <c r="F294" s="46">
        <f>'Дашборд и Сводка'!$C$7</f>
        <v/>
      </c>
      <c r="G294" s="34">
        <f>E294*F294*'Дашборд и Сводка'!$C$8</f>
        <v/>
      </c>
      <c r="H294" s="34">
        <f>D294+G294</f>
        <v/>
      </c>
    </row>
    <row r="295" ht="20" customHeight="1">
      <c r="A295" s="28" t="inlineStr">
        <is>
          <t>Сентябрь</t>
        </is>
      </c>
      <c r="B295" s="28" t="n">
        <v>258</v>
      </c>
      <c r="C295" s="28" t="n">
        <v>15</v>
      </c>
      <c r="D295" s="29">
        <f>H294</f>
        <v/>
      </c>
      <c r="E295" s="30">
        <f>MIN('Дашборд и Сводка'!$C$9, ROUNDUP(D295/'Дашборд и Сводка'!$C$6, 0)*0.01)</f>
        <v/>
      </c>
      <c r="F295" s="45">
        <f>'Дашборд и Сводка'!$C$7</f>
        <v/>
      </c>
      <c r="G295" s="29">
        <f>E295*F295*'Дашборд и Сводка'!$C$8</f>
        <v/>
      </c>
      <c r="H295" s="29">
        <f>D295+G295</f>
        <v/>
      </c>
    </row>
    <row r="296" ht="20" customHeight="1">
      <c r="A296" s="33" t="inlineStr">
        <is>
          <t>Сентябрь</t>
        </is>
      </c>
      <c r="B296" s="33" t="n">
        <v>259</v>
      </c>
      <c r="C296" s="33" t="n">
        <v>16</v>
      </c>
      <c r="D296" s="34">
        <f>H295</f>
        <v/>
      </c>
      <c r="E296" s="35">
        <f>MIN('Дашборд и Сводка'!$C$9, ROUNDUP(D296/'Дашборд и Сводка'!$C$6, 0)*0.01)</f>
        <v/>
      </c>
      <c r="F296" s="46">
        <f>'Дашборд и Сводка'!$C$7</f>
        <v/>
      </c>
      <c r="G296" s="34">
        <f>E296*F296*'Дашборд и Сводка'!$C$8</f>
        <v/>
      </c>
      <c r="H296" s="34">
        <f>D296+G296</f>
        <v/>
      </c>
    </row>
    <row r="297" ht="20" customHeight="1">
      <c r="A297" s="28" t="inlineStr">
        <is>
          <t>Сентябрь</t>
        </is>
      </c>
      <c r="B297" s="28" t="n">
        <v>260</v>
      </c>
      <c r="C297" s="28" t="n">
        <v>17</v>
      </c>
      <c r="D297" s="29">
        <f>H296</f>
        <v/>
      </c>
      <c r="E297" s="30">
        <f>MIN('Дашборд и Сводка'!$C$9, ROUNDUP(D297/'Дашборд и Сводка'!$C$6, 0)*0.01)</f>
        <v/>
      </c>
      <c r="F297" s="45">
        <f>'Дашборд и Сводка'!$C$7</f>
        <v/>
      </c>
      <c r="G297" s="29">
        <f>E297*F297*'Дашборд и Сводка'!$C$8</f>
        <v/>
      </c>
      <c r="H297" s="29">
        <f>D297+G297</f>
        <v/>
      </c>
    </row>
    <row r="298" ht="20" customHeight="1">
      <c r="A298" s="33" t="inlineStr">
        <is>
          <t>Сентябрь</t>
        </is>
      </c>
      <c r="B298" s="33" t="n">
        <v>261</v>
      </c>
      <c r="C298" s="33" t="n">
        <v>18</v>
      </c>
      <c r="D298" s="34">
        <f>H297</f>
        <v/>
      </c>
      <c r="E298" s="35">
        <f>MIN('Дашборд и Сводка'!$C$9, ROUNDUP(D298/'Дашборд и Сводка'!$C$6, 0)*0.01)</f>
        <v/>
      </c>
      <c r="F298" s="46">
        <f>'Дашборд и Сводка'!$C$7</f>
        <v/>
      </c>
      <c r="G298" s="34">
        <f>E298*F298*'Дашборд и Сводка'!$C$8</f>
        <v/>
      </c>
      <c r="H298" s="34">
        <f>D298+G298</f>
        <v/>
      </c>
    </row>
    <row r="299" ht="20" customHeight="1">
      <c r="A299" s="28" t="inlineStr">
        <is>
          <t>Сентябрь</t>
        </is>
      </c>
      <c r="B299" s="28" t="n">
        <v>262</v>
      </c>
      <c r="C299" s="28" t="n">
        <v>19</v>
      </c>
      <c r="D299" s="29">
        <f>H298</f>
        <v/>
      </c>
      <c r="E299" s="30">
        <f>MIN('Дашборд и Сводка'!$C$9, ROUNDUP(D299/'Дашборд и Сводка'!$C$6, 0)*0.01)</f>
        <v/>
      </c>
      <c r="F299" s="45">
        <f>'Дашборд и Сводка'!$C$7</f>
        <v/>
      </c>
      <c r="G299" s="29">
        <f>E299*F299*'Дашборд и Сводка'!$C$8</f>
        <v/>
      </c>
      <c r="H299" s="29">
        <f>D299+G299</f>
        <v/>
      </c>
    </row>
    <row r="300" ht="20" customHeight="1">
      <c r="A300" s="33" t="inlineStr">
        <is>
          <t>Сентябрь</t>
        </is>
      </c>
      <c r="B300" s="33" t="n">
        <v>263</v>
      </c>
      <c r="C300" s="33" t="n">
        <v>20</v>
      </c>
      <c r="D300" s="34">
        <f>H299</f>
        <v/>
      </c>
      <c r="E300" s="35">
        <f>MIN('Дашборд и Сводка'!$C$9, ROUNDUP(D300/'Дашборд и Сводка'!$C$6, 0)*0.01)</f>
        <v/>
      </c>
      <c r="F300" s="46">
        <f>'Дашборд и Сводка'!$C$7</f>
        <v/>
      </c>
      <c r="G300" s="34">
        <f>E300*F300*'Дашборд и Сводка'!$C$8</f>
        <v/>
      </c>
      <c r="H300" s="34">
        <f>D300+G300</f>
        <v/>
      </c>
    </row>
    <row r="301" ht="20" customHeight="1">
      <c r="A301" s="28" t="inlineStr">
        <is>
          <t>Сентябрь</t>
        </is>
      </c>
      <c r="B301" s="28" t="n">
        <v>264</v>
      </c>
      <c r="C301" s="28" t="n">
        <v>21</v>
      </c>
      <c r="D301" s="29">
        <f>H300</f>
        <v/>
      </c>
      <c r="E301" s="30">
        <f>MIN('Дашборд и Сводка'!$C$9, ROUNDUP(D301/'Дашборд и Сводка'!$C$6, 0)*0.01)</f>
        <v/>
      </c>
      <c r="F301" s="45">
        <f>'Дашборд и Сводка'!$C$7</f>
        <v/>
      </c>
      <c r="G301" s="29">
        <f>E301*F301*'Дашборд и Сводка'!$C$8</f>
        <v/>
      </c>
      <c r="H301" s="29">
        <f>D301+G301</f>
        <v/>
      </c>
    </row>
    <row r="302" ht="20" customHeight="1">
      <c r="A302" s="33" t="inlineStr">
        <is>
          <t>Сентябрь</t>
        </is>
      </c>
      <c r="B302" s="33" t="n">
        <v>265</v>
      </c>
      <c r="C302" s="33" t="n">
        <v>22</v>
      </c>
      <c r="D302" s="34">
        <f>H301</f>
        <v/>
      </c>
      <c r="E302" s="35">
        <f>MIN('Дашборд и Сводка'!$C$9, ROUNDUP(D302/'Дашборд и Сводка'!$C$6, 0)*0.01)</f>
        <v/>
      </c>
      <c r="F302" s="46">
        <f>'Дашборд и Сводка'!$C$7</f>
        <v/>
      </c>
      <c r="G302" s="34">
        <f>E302*F302*'Дашборд и Сводка'!$C$8</f>
        <v/>
      </c>
      <c r="H302" s="34">
        <f>D302+G302</f>
        <v/>
      </c>
    </row>
    <row r="303" ht="20" customHeight="1">
      <c r="A303" s="28" t="inlineStr">
        <is>
          <t>Сентябрь</t>
        </is>
      </c>
      <c r="B303" s="28" t="n">
        <v>266</v>
      </c>
      <c r="C303" s="28" t="n">
        <v>23</v>
      </c>
      <c r="D303" s="29">
        <f>H302</f>
        <v/>
      </c>
      <c r="E303" s="30">
        <f>MIN('Дашборд и Сводка'!$C$9, ROUNDUP(D303/'Дашборд и Сводка'!$C$6, 0)*0.01)</f>
        <v/>
      </c>
      <c r="F303" s="45">
        <f>'Дашборд и Сводка'!$C$7</f>
        <v/>
      </c>
      <c r="G303" s="29">
        <f>E303*F303*'Дашборд и Сводка'!$C$8</f>
        <v/>
      </c>
      <c r="H303" s="29">
        <f>D303+G303</f>
        <v/>
      </c>
    </row>
    <row r="304" ht="20" customHeight="1">
      <c r="A304" s="33" t="inlineStr">
        <is>
          <t>Сентябрь</t>
        </is>
      </c>
      <c r="B304" s="33" t="n">
        <v>267</v>
      </c>
      <c r="C304" s="33" t="n">
        <v>24</v>
      </c>
      <c r="D304" s="34">
        <f>H303</f>
        <v/>
      </c>
      <c r="E304" s="35">
        <f>MIN('Дашборд и Сводка'!$C$9, ROUNDUP(D304/'Дашборд и Сводка'!$C$6, 0)*0.01)</f>
        <v/>
      </c>
      <c r="F304" s="46">
        <f>'Дашборд и Сводка'!$C$7</f>
        <v/>
      </c>
      <c r="G304" s="34">
        <f>E304*F304*'Дашборд и Сводка'!$C$8</f>
        <v/>
      </c>
      <c r="H304" s="34">
        <f>D304+G304</f>
        <v/>
      </c>
    </row>
    <row r="305" ht="20" customHeight="1">
      <c r="A305" s="28" t="inlineStr">
        <is>
          <t>Сентябрь</t>
        </is>
      </c>
      <c r="B305" s="28" t="n">
        <v>268</v>
      </c>
      <c r="C305" s="28" t="n">
        <v>25</v>
      </c>
      <c r="D305" s="29">
        <f>H304</f>
        <v/>
      </c>
      <c r="E305" s="30">
        <f>MIN('Дашборд и Сводка'!$C$9, ROUNDUP(D305/'Дашборд и Сводка'!$C$6, 0)*0.01)</f>
        <v/>
      </c>
      <c r="F305" s="45">
        <f>'Дашборд и Сводка'!$C$7</f>
        <v/>
      </c>
      <c r="G305" s="29">
        <f>E305*F305*'Дашборд и Сводка'!$C$8</f>
        <v/>
      </c>
      <c r="H305" s="29">
        <f>D305+G305</f>
        <v/>
      </c>
    </row>
    <row r="306" ht="20" customHeight="1">
      <c r="A306" s="33" t="inlineStr">
        <is>
          <t>Сентябрь</t>
        </is>
      </c>
      <c r="B306" s="33" t="n">
        <v>269</v>
      </c>
      <c r="C306" s="33" t="n">
        <v>26</v>
      </c>
      <c r="D306" s="34">
        <f>H305</f>
        <v/>
      </c>
      <c r="E306" s="35">
        <f>MIN('Дашборд и Сводка'!$C$9, ROUNDUP(D306/'Дашборд и Сводка'!$C$6, 0)*0.01)</f>
        <v/>
      </c>
      <c r="F306" s="46">
        <f>'Дашборд и Сводка'!$C$7</f>
        <v/>
      </c>
      <c r="G306" s="34">
        <f>E306*F306*'Дашборд и Сводка'!$C$8</f>
        <v/>
      </c>
      <c r="H306" s="34">
        <f>D306+G306</f>
        <v/>
      </c>
    </row>
    <row r="307" ht="20" customHeight="1">
      <c r="A307" s="28" t="inlineStr">
        <is>
          <t>Сентябрь</t>
        </is>
      </c>
      <c r="B307" s="28" t="n">
        <v>270</v>
      </c>
      <c r="C307" s="28" t="n">
        <v>27</v>
      </c>
      <c r="D307" s="29">
        <f>H306</f>
        <v/>
      </c>
      <c r="E307" s="30">
        <f>MIN('Дашборд и Сводка'!$C$9, ROUNDUP(D307/'Дашборд и Сводка'!$C$6, 0)*0.01)</f>
        <v/>
      </c>
      <c r="F307" s="45">
        <f>'Дашборд и Сводка'!$C$7</f>
        <v/>
      </c>
      <c r="G307" s="29">
        <f>E307*F307*'Дашборд и Сводка'!$C$8</f>
        <v/>
      </c>
      <c r="H307" s="29">
        <f>D307+G307</f>
        <v/>
      </c>
    </row>
    <row r="308" ht="20" customHeight="1">
      <c r="A308" s="33" t="inlineStr">
        <is>
          <t>Сентябрь</t>
        </is>
      </c>
      <c r="B308" s="33" t="n">
        <v>271</v>
      </c>
      <c r="C308" s="33" t="n">
        <v>28</v>
      </c>
      <c r="D308" s="34">
        <f>H307</f>
        <v/>
      </c>
      <c r="E308" s="35">
        <f>MIN('Дашборд и Сводка'!$C$9, ROUNDUP(D308/'Дашборд и Сводка'!$C$6, 0)*0.01)</f>
        <v/>
      </c>
      <c r="F308" s="46">
        <f>'Дашборд и Сводка'!$C$7</f>
        <v/>
      </c>
      <c r="G308" s="34">
        <f>E308*F308*'Дашборд и Сводка'!$C$8</f>
        <v/>
      </c>
      <c r="H308" s="34">
        <f>D308+G308</f>
        <v/>
      </c>
    </row>
    <row r="309" ht="20" customHeight="1">
      <c r="A309" s="28" t="inlineStr">
        <is>
          <t>Сентябрь</t>
        </is>
      </c>
      <c r="B309" s="28" t="n">
        <v>272</v>
      </c>
      <c r="C309" s="28" t="n">
        <v>29</v>
      </c>
      <c r="D309" s="29">
        <f>H308</f>
        <v/>
      </c>
      <c r="E309" s="30">
        <f>MIN('Дашборд и Сводка'!$C$9, ROUNDUP(D309/'Дашборд и Сводка'!$C$6, 0)*0.01)</f>
        <v/>
      </c>
      <c r="F309" s="45">
        <f>'Дашборд и Сводка'!$C$7</f>
        <v/>
      </c>
      <c r="G309" s="29">
        <f>E309*F309*'Дашборд и Сводка'!$C$8</f>
        <v/>
      </c>
      <c r="H309" s="29">
        <f>D309+G309</f>
        <v/>
      </c>
    </row>
    <row r="310" ht="20" customHeight="1">
      <c r="A310" s="33" t="inlineStr">
        <is>
          <t>Сентябрь</t>
        </is>
      </c>
      <c r="B310" s="33" t="n">
        <v>273</v>
      </c>
      <c r="C310" s="33" t="n">
        <v>30</v>
      </c>
      <c r="D310" s="34">
        <f>H309</f>
        <v/>
      </c>
      <c r="E310" s="35">
        <f>MIN('Дашборд и Сводка'!$C$9, ROUNDUP(D310/'Дашборд и Сводка'!$C$6, 0)*0.01)</f>
        <v/>
      </c>
      <c r="F310" s="46">
        <f>'Дашборд и Сводка'!$C$7</f>
        <v/>
      </c>
      <c r="G310" s="34">
        <f>E310*F310*'Дашборд и Сводка'!$C$8</f>
        <v/>
      </c>
      <c r="H310" s="34">
        <f>D310+G310</f>
        <v/>
      </c>
    </row>
    <row r="311" ht="24" customHeight="1">
      <c r="A311" s="56" t="inlineStr">
        <is>
          <t>ИТОГО ЗА СЕНТЯБРЬ:</t>
        </is>
      </c>
      <c r="B311" s="48" t="n"/>
      <c r="C311" s="48" t="n"/>
      <c r="D311" s="57">
        <f>D281</f>
        <v/>
      </c>
      <c r="E311" s="58">
        <f>MAX(E281:E310)</f>
        <v/>
      </c>
      <c r="F311" s="59">
        <f>'Дашборд и Сводка'!$C$7</f>
        <v/>
      </c>
      <c r="G311" s="60">
        <f>SUM(G281:G310)</f>
        <v/>
      </c>
      <c r="H311" s="61">
        <f>H310</f>
        <v/>
      </c>
    </row>
    <row r="313" ht="26" customHeight="1">
      <c r="A313" s="55" t="inlineStr">
        <is>
          <t>МЕСЯЦ 10: ОКТЯБРЬ (31 торговых дней)</t>
        </is>
      </c>
    </row>
    <row r="314" ht="24" customHeight="1">
      <c r="A314" s="44" t="inlineStr">
        <is>
          <t>Месяц</t>
        </is>
      </c>
      <c r="B314" s="44" t="inlineStr">
        <is>
          <t>День года</t>
        </is>
      </c>
      <c r="C314" s="44" t="inlineStr">
        <is>
          <t>День месяца</t>
        </is>
      </c>
      <c r="D314" s="44" t="inlineStr">
        <is>
          <t>Начальный депозит ($)</t>
        </is>
      </c>
      <c r="E314" s="44" t="inlineStr">
        <is>
          <t>Размер лота</t>
        </is>
      </c>
      <c r="F314" s="44" t="inlineStr">
        <is>
          <t>Цель (пунктов)</t>
        </is>
      </c>
      <c r="G314" s="44" t="inlineStr">
        <is>
          <t>Прибыль за день ($)</t>
        </is>
      </c>
      <c r="H314" s="44" t="inlineStr">
        <is>
          <t>Итоговый баланс ($)</t>
        </is>
      </c>
    </row>
    <row r="315" ht="20" customHeight="1">
      <c r="A315" s="28" t="inlineStr">
        <is>
          <t>Октябрь</t>
        </is>
      </c>
      <c r="B315" s="28" t="n">
        <v>274</v>
      </c>
      <c r="C315" s="28" t="n">
        <v>1</v>
      </c>
      <c r="D315" s="29">
        <f>H310</f>
        <v/>
      </c>
      <c r="E315" s="30">
        <f>MIN('Дашборд и Сводка'!$C$9, ROUNDUP(D315/'Дашборд и Сводка'!$C$6, 0)*0.01)</f>
        <v/>
      </c>
      <c r="F315" s="45">
        <f>'Дашборд и Сводка'!$C$7</f>
        <v/>
      </c>
      <c r="G315" s="29">
        <f>E315*F315*'Дашборд и Сводка'!$C$8</f>
        <v/>
      </c>
      <c r="H315" s="29">
        <f>D315+G315</f>
        <v/>
      </c>
    </row>
    <row r="316" ht="20" customHeight="1">
      <c r="A316" s="33" t="inlineStr">
        <is>
          <t>Октябрь</t>
        </is>
      </c>
      <c r="B316" s="33" t="n">
        <v>275</v>
      </c>
      <c r="C316" s="33" t="n">
        <v>2</v>
      </c>
      <c r="D316" s="34">
        <f>H315</f>
        <v/>
      </c>
      <c r="E316" s="35">
        <f>MIN('Дашборд и Сводка'!$C$9, ROUNDUP(D316/'Дашборд и Сводка'!$C$6, 0)*0.01)</f>
        <v/>
      </c>
      <c r="F316" s="46">
        <f>'Дашборд и Сводка'!$C$7</f>
        <v/>
      </c>
      <c r="G316" s="34">
        <f>E316*F316*'Дашборд и Сводка'!$C$8</f>
        <v/>
      </c>
      <c r="H316" s="34">
        <f>D316+G316</f>
        <v/>
      </c>
    </row>
    <row r="317" ht="20" customHeight="1">
      <c r="A317" s="28" t="inlineStr">
        <is>
          <t>Октябрь</t>
        </is>
      </c>
      <c r="B317" s="28" t="n">
        <v>276</v>
      </c>
      <c r="C317" s="28" t="n">
        <v>3</v>
      </c>
      <c r="D317" s="29">
        <f>H316</f>
        <v/>
      </c>
      <c r="E317" s="30">
        <f>MIN('Дашборд и Сводка'!$C$9, ROUNDUP(D317/'Дашборд и Сводка'!$C$6, 0)*0.01)</f>
        <v/>
      </c>
      <c r="F317" s="45">
        <f>'Дашборд и Сводка'!$C$7</f>
        <v/>
      </c>
      <c r="G317" s="29">
        <f>E317*F317*'Дашборд и Сводка'!$C$8</f>
        <v/>
      </c>
      <c r="H317" s="29">
        <f>D317+G317</f>
        <v/>
      </c>
    </row>
    <row r="318" ht="20" customHeight="1">
      <c r="A318" s="33" t="inlineStr">
        <is>
          <t>Октябрь</t>
        </is>
      </c>
      <c r="B318" s="33" t="n">
        <v>277</v>
      </c>
      <c r="C318" s="33" t="n">
        <v>4</v>
      </c>
      <c r="D318" s="34">
        <f>H317</f>
        <v/>
      </c>
      <c r="E318" s="35">
        <f>MIN('Дашборд и Сводка'!$C$9, ROUNDUP(D318/'Дашборд и Сводка'!$C$6, 0)*0.01)</f>
        <v/>
      </c>
      <c r="F318" s="46">
        <f>'Дашборд и Сводка'!$C$7</f>
        <v/>
      </c>
      <c r="G318" s="34">
        <f>E318*F318*'Дашборд и Сводка'!$C$8</f>
        <v/>
      </c>
      <c r="H318" s="34">
        <f>D318+G318</f>
        <v/>
      </c>
    </row>
    <row r="319" ht="20" customHeight="1">
      <c r="A319" s="28" t="inlineStr">
        <is>
          <t>Октябрь</t>
        </is>
      </c>
      <c r="B319" s="28" t="n">
        <v>278</v>
      </c>
      <c r="C319" s="28" t="n">
        <v>5</v>
      </c>
      <c r="D319" s="29">
        <f>H318</f>
        <v/>
      </c>
      <c r="E319" s="30">
        <f>MIN('Дашборд и Сводка'!$C$9, ROUNDUP(D319/'Дашборд и Сводка'!$C$6, 0)*0.01)</f>
        <v/>
      </c>
      <c r="F319" s="45">
        <f>'Дашборд и Сводка'!$C$7</f>
        <v/>
      </c>
      <c r="G319" s="29">
        <f>E319*F319*'Дашборд и Сводка'!$C$8</f>
        <v/>
      </c>
      <c r="H319" s="29">
        <f>D319+G319</f>
        <v/>
      </c>
    </row>
    <row r="320" ht="20" customHeight="1">
      <c r="A320" s="33" t="inlineStr">
        <is>
          <t>Октябрь</t>
        </is>
      </c>
      <c r="B320" s="33" t="n">
        <v>279</v>
      </c>
      <c r="C320" s="33" t="n">
        <v>6</v>
      </c>
      <c r="D320" s="34">
        <f>H319</f>
        <v/>
      </c>
      <c r="E320" s="35">
        <f>MIN('Дашборд и Сводка'!$C$9, ROUNDUP(D320/'Дашборд и Сводка'!$C$6, 0)*0.01)</f>
        <v/>
      </c>
      <c r="F320" s="46">
        <f>'Дашборд и Сводка'!$C$7</f>
        <v/>
      </c>
      <c r="G320" s="34">
        <f>E320*F320*'Дашборд и Сводка'!$C$8</f>
        <v/>
      </c>
      <c r="H320" s="34">
        <f>D320+G320</f>
        <v/>
      </c>
    </row>
    <row r="321" ht="20" customHeight="1">
      <c r="A321" s="28" t="inlineStr">
        <is>
          <t>Октябрь</t>
        </is>
      </c>
      <c r="B321" s="28" t="n">
        <v>280</v>
      </c>
      <c r="C321" s="28" t="n">
        <v>7</v>
      </c>
      <c r="D321" s="29">
        <f>H320</f>
        <v/>
      </c>
      <c r="E321" s="30">
        <f>MIN('Дашборд и Сводка'!$C$9, ROUNDUP(D321/'Дашборд и Сводка'!$C$6, 0)*0.01)</f>
        <v/>
      </c>
      <c r="F321" s="45">
        <f>'Дашборд и Сводка'!$C$7</f>
        <v/>
      </c>
      <c r="G321" s="29">
        <f>E321*F321*'Дашборд и Сводка'!$C$8</f>
        <v/>
      </c>
      <c r="H321" s="29">
        <f>D321+G321</f>
        <v/>
      </c>
    </row>
    <row r="322" ht="20" customHeight="1">
      <c r="A322" s="33" t="inlineStr">
        <is>
          <t>Октябрь</t>
        </is>
      </c>
      <c r="B322" s="33" t="n">
        <v>281</v>
      </c>
      <c r="C322" s="33" t="n">
        <v>8</v>
      </c>
      <c r="D322" s="34">
        <f>H321</f>
        <v/>
      </c>
      <c r="E322" s="35">
        <f>MIN('Дашборд и Сводка'!$C$9, ROUNDUP(D322/'Дашборд и Сводка'!$C$6, 0)*0.01)</f>
        <v/>
      </c>
      <c r="F322" s="46">
        <f>'Дашборд и Сводка'!$C$7</f>
        <v/>
      </c>
      <c r="G322" s="34">
        <f>E322*F322*'Дашборд и Сводка'!$C$8</f>
        <v/>
      </c>
      <c r="H322" s="34">
        <f>D322+G322</f>
        <v/>
      </c>
    </row>
    <row r="323" ht="20" customHeight="1">
      <c r="A323" s="28" t="inlineStr">
        <is>
          <t>Октябрь</t>
        </is>
      </c>
      <c r="B323" s="28" t="n">
        <v>282</v>
      </c>
      <c r="C323" s="28" t="n">
        <v>9</v>
      </c>
      <c r="D323" s="29">
        <f>H322</f>
        <v/>
      </c>
      <c r="E323" s="30">
        <f>MIN('Дашборд и Сводка'!$C$9, ROUNDUP(D323/'Дашборд и Сводка'!$C$6, 0)*0.01)</f>
        <v/>
      </c>
      <c r="F323" s="45">
        <f>'Дашборд и Сводка'!$C$7</f>
        <v/>
      </c>
      <c r="G323" s="29">
        <f>E323*F323*'Дашборд и Сводка'!$C$8</f>
        <v/>
      </c>
      <c r="H323" s="29">
        <f>D323+G323</f>
        <v/>
      </c>
    </row>
    <row r="324" ht="20" customHeight="1">
      <c r="A324" s="33" t="inlineStr">
        <is>
          <t>Октябрь</t>
        </is>
      </c>
      <c r="B324" s="33" t="n">
        <v>283</v>
      </c>
      <c r="C324" s="33" t="n">
        <v>10</v>
      </c>
      <c r="D324" s="34">
        <f>H323</f>
        <v/>
      </c>
      <c r="E324" s="35">
        <f>MIN('Дашборд и Сводка'!$C$9, ROUNDUP(D324/'Дашборд и Сводка'!$C$6, 0)*0.01)</f>
        <v/>
      </c>
      <c r="F324" s="46">
        <f>'Дашборд и Сводка'!$C$7</f>
        <v/>
      </c>
      <c r="G324" s="34">
        <f>E324*F324*'Дашборд и Сводка'!$C$8</f>
        <v/>
      </c>
      <c r="H324" s="34">
        <f>D324+G324</f>
        <v/>
      </c>
    </row>
    <row r="325" ht="20" customHeight="1">
      <c r="A325" s="28" t="inlineStr">
        <is>
          <t>Октябрь</t>
        </is>
      </c>
      <c r="B325" s="28" t="n">
        <v>284</v>
      </c>
      <c r="C325" s="28" t="n">
        <v>11</v>
      </c>
      <c r="D325" s="29">
        <f>H324</f>
        <v/>
      </c>
      <c r="E325" s="30">
        <f>MIN('Дашборд и Сводка'!$C$9, ROUNDUP(D325/'Дашборд и Сводка'!$C$6, 0)*0.01)</f>
        <v/>
      </c>
      <c r="F325" s="45">
        <f>'Дашборд и Сводка'!$C$7</f>
        <v/>
      </c>
      <c r="G325" s="29">
        <f>E325*F325*'Дашборд и Сводка'!$C$8</f>
        <v/>
      </c>
      <c r="H325" s="29">
        <f>D325+G325</f>
        <v/>
      </c>
    </row>
    <row r="326" ht="20" customHeight="1">
      <c r="A326" s="33" t="inlineStr">
        <is>
          <t>Октябрь</t>
        </is>
      </c>
      <c r="B326" s="33" t="n">
        <v>285</v>
      </c>
      <c r="C326" s="33" t="n">
        <v>12</v>
      </c>
      <c r="D326" s="34">
        <f>H325</f>
        <v/>
      </c>
      <c r="E326" s="35">
        <f>MIN('Дашборд и Сводка'!$C$9, ROUNDUP(D326/'Дашборд и Сводка'!$C$6, 0)*0.01)</f>
        <v/>
      </c>
      <c r="F326" s="46">
        <f>'Дашборд и Сводка'!$C$7</f>
        <v/>
      </c>
      <c r="G326" s="34">
        <f>E326*F326*'Дашборд и Сводка'!$C$8</f>
        <v/>
      </c>
      <c r="H326" s="34">
        <f>D326+G326</f>
        <v/>
      </c>
    </row>
    <row r="327" ht="20" customHeight="1">
      <c r="A327" s="28" t="inlineStr">
        <is>
          <t>Октябрь</t>
        </is>
      </c>
      <c r="B327" s="28" t="n">
        <v>286</v>
      </c>
      <c r="C327" s="28" t="n">
        <v>13</v>
      </c>
      <c r="D327" s="29">
        <f>H326</f>
        <v/>
      </c>
      <c r="E327" s="30">
        <f>MIN('Дашборд и Сводка'!$C$9, ROUNDUP(D327/'Дашборд и Сводка'!$C$6, 0)*0.01)</f>
        <v/>
      </c>
      <c r="F327" s="45">
        <f>'Дашборд и Сводка'!$C$7</f>
        <v/>
      </c>
      <c r="G327" s="29">
        <f>E327*F327*'Дашборд и Сводка'!$C$8</f>
        <v/>
      </c>
      <c r="H327" s="29">
        <f>D327+G327</f>
        <v/>
      </c>
    </row>
    <row r="328" ht="20" customHeight="1">
      <c r="A328" s="33" t="inlineStr">
        <is>
          <t>Октябрь</t>
        </is>
      </c>
      <c r="B328" s="33" t="n">
        <v>287</v>
      </c>
      <c r="C328" s="33" t="n">
        <v>14</v>
      </c>
      <c r="D328" s="34">
        <f>H327</f>
        <v/>
      </c>
      <c r="E328" s="35">
        <f>MIN('Дашборд и Сводка'!$C$9, ROUNDUP(D328/'Дашборд и Сводка'!$C$6, 0)*0.01)</f>
        <v/>
      </c>
      <c r="F328" s="46">
        <f>'Дашборд и Сводка'!$C$7</f>
        <v/>
      </c>
      <c r="G328" s="34">
        <f>E328*F328*'Дашборд и Сводка'!$C$8</f>
        <v/>
      </c>
      <c r="H328" s="34">
        <f>D328+G328</f>
        <v/>
      </c>
    </row>
    <row r="329" ht="20" customHeight="1">
      <c r="A329" s="28" t="inlineStr">
        <is>
          <t>Октябрь</t>
        </is>
      </c>
      <c r="B329" s="28" t="n">
        <v>288</v>
      </c>
      <c r="C329" s="28" t="n">
        <v>15</v>
      </c>
      <c r="D329" s="29">
        <f>H328</f>
        <v/>
      </c>
      <c r="E329" s="30">
        <f>MIN('Дашборд и Сводка'!$C$9, ROUNDUP(D329/'Дашборд и Сводка'!$C$6, 0)*0.01)</f>
        <v/>
      </c>
      <c r="F329" s="45">
        <f>'Дашборд и Сводка'!$C$7</f>
        <v/>
      </c>
      <c r="G329" s="29">
        <f>E329*F329*'Дашборд и Сводка'!$C$8</f>
        <v/>
      </c>
      <c r="H329" s="29">
        <f>D329+G329</f>
        <v/>
      </c>
    </row>
    <row r="330" ht="20" customHeight="1">
      <c r="A330" s="33" t="inlineStr">
        <is>
          <t>Октябрь</t>
        </is>
      </c>
      <c r="B330" s="33" t="n">
        <v>289</v>
      </c>
      <c r="C330" s="33" t="n">
        <v>16</v>
      </c>
      <c r="D330" s="34">
        <f>H329</f>
        <v/>
      </c>
      <c r="E330" s="35">
        <f>MIN('Дашборд и Сводка'!$C$9, ROUNDUP(D330/'Дашборд и Сводка'!$C$6, 0)*0.01)</f>
        <v/>
      </c>
      <c r="F330" s="46">
        <f>'Дашборд и Сводка'!$C$7</f>
        <v/>
      </c>
      <c r="G330" s="34">
        <f>E330*F330*'Дашборд и Сводка'!$C$8</f>
        <v/>
      </c>
      <c r="H330" s="34">
        <f>D330+G330</f>
        <v/>
      </c>
    </row>
    <row r="331" ht="20" customHeight="1">
      <c r="A331" s="28" t="inlineStr">
        <is>
          <t>Октябрь</t>
        </is>
      </c>
      <c r="B331" s="28" t="n">
        <v>290</v>
      </c>
      <c r="C331" s="28" t="n">
        <v>17</v>
      </c>
      <c r="D331" s="29">
        <f>H330</f>
        <v/>
      </c>
      <c r="E331" s="30">
        <f>MIN('Дашборд и Сводка'!$C$9, ROUNDUP(D331/'Дашборд и Сводка'!$C$6, 0)*0.01)</f>
        <v/>
      </c>
      <c r="F331" s="45">
        <f>'Дашборд и Сводка'!$C$7</f>
        <v/>
      </c>
      <c r="G331" s="29">
        <f>E331*F331*'Дашборд и Сводка'!$C$8</f>
        <v/>
      </c>
      <c r="H331" s="29">
        <f>D331+G331</f>
        <v/>
      </c>
    </row>
    <row r="332" ht="20" customHeight="1">
      <c r="A332" s="33" t="inlineStr">
        <is>
          <t>Октябрь</t>
        </is>
      </c>
      <c r="B332" s="33" t="n">
        <v>291</v>
      </c>
      <c r="C332" s="33" t="n">
        <v>18</v>
      </c>
      <c r="D332" s="34">
        <f>H331</f>
        <v/>
      </c>
      <c r="E332" s="35">
        <f>MIN('Дашборд и Сводка'!$C$9, ROUNDUP(D332/'Дашборд и Сводка'!$C$6, 0)*0.01)</f>
        <v/>
      </c>
      <c r="F332" s="46">
        <f>'Дашборд и Сводка'!$C$7</f>
        <v/>
      </c>
      <c r="G332" s="34">
        <f>E332*F332*'Дашборд и Сводка'!$C$8</f>
        <v/>
      </c>
      <c r="H332" s="34">
        <f>D332+G332</f>
        <v/>
      </c>
    </row>
    <row r="333" ht="20" customHeight="1">
      <c r="A333" s="28" t="inlineStr">
        <is>
          <t>Октябрь</t>
        </is>
      </c>
      <c r="B333" s="28" t="n">
        <v>292</v>
      </c>
      <c r="C333" s="28" t="n">
        <v>19</v>
      </c>
      <c r="D333" s="29">
        <f>H332</f>
        <v/>
      </c>
      <c r="E333" s="30">
        <f>MIN('Дашборд и Сводка'!$C$9, ROUNDUP(D333/'Дашборд и Сводка'!$C$6, 0)*0.01)</f>
        <v/>
      </c>
      <c r="F333" s="45">
        <f>'Дашборд и Сводка'!$C$7</f>
        <v/>
      </c>
      <c r="G333" s="29">
        <f>E333*F333*'Дашборд и Сводка'!$C$8</f>
        <v/>
      </c>
      <c r="H333" s="29">
        <f>D333+G333</f>
        <v/>
      </c>
    </row>
    <row r="334" ht="20" customHeight="1">
      <c r="A334" s="33" t="inlineStr">
        <is>
          <t>Октябрь</t>
        </is>
      </c>
      <c r="B334" s="33" t="n">
        <v>293</v>
      </c>
      <c r="C334" s="33" t="n">
        <v>20</v>
      </c>
      <c r="D334" s="34">
        <f>H333</f>
        <v/>
      </c>
      <c r="E334" s="35">
        <f>MIN('Дашборд и Сводка'!$C$9, ROUNDUP(D334/'Дашборд и Сводка'!$C$6, 0)*0.01)</f>
        <v/>
      </c>
      <c r="F334" s="46">
        <f>'Дашборд и Сводка'!$C$7</f>
        <v/>
      </c>
      <c r="G334" s="34">
        <f>E334*F334*'Дашборд и Сводка'!$C$8</f>
        <v/>
      </c>
      <c r="H334" s="34">
        <f>D334+G334</f>
        <v/>
      </c>
    </row>
    <row r="335" ht="20" customHeight="1">
      <c r="A335" s="28" t="inlineStr">
        <is>
          <t>Октябрь</t>
        </is>
      </c>
      <c r="B335" s="28" t="n">
        <v>294</v>
      </c>
      <c r="C335" s="28" t="n">
        <v>21</v>
      </c>
      <c r="D335" s="29">
        <f>H334</f>
        <v/>
      </c>
      <c r="E335" s="30">
        <f>MIN('Дашборд и Сводка'!$C$9, ROUNDUP(D335/'Дашборд и Сводка'!$C$6, 0)*0.01)</f>
        <v/>
      </c>
      <c r="F335" s="45">
        <f>'Дашборд и Сводка'!$C$7</f>
        <v/>
      </c>
      <c r="G335" s="29">
        <f>E335*F335*'Дашборд и Сводка'!$C$8</f>
        <v/>
      </c>
      <c r="H335" s="29">
        <f>D335+G335</f>
        <v/>
      </c>
    </row>
    <row r="336" ht="20" customHeight="1">
      <c r="A336" s="33" t="inlineStr">
        <is>
          <t>Октябрь</t>
        </is>
      </c>
      <c r="B336" s="33" t="n">
        <v>295</v>
      </c>
      <c r="C336" s="33" t="n">
        <v>22</v>
      </c>
      <c r="D336" s="34">
        <f>H335</f>
        <v/>
      </c>
      <c r="E336" s="35">
        <f>MIN('Дашборд и Сводка'!$C$9, ROUNDUP(D336/'Дашборд и Сводка'!$C$6, 0)*0.01)</f>
        <v/>
      </c>
      <c r="F336" s="46">
        <f>'Дашборд и Сводка'!$C$7</f>
        <v/>
      </c>
      <c r="G336" s="34">
        <f>E336*F336*'Дашборд и Сводка'!$C$8</f>
        <v/>
      </c>
      <c r="H336" s="34">
        <f>D336+G336</f>
        <v/>
      </c>
    </row>
    <row r="337" ht="20" customHeight="1">
      <c r="A337" s="28" t="inlineStr">
        <is>
          <t>Октябрь</t>
        </is>
      </c>
      <c r="B337" s="28" t="n">
        <v>296</v>
      </c>
      <c r="C337" s="28" t="n">
        <v>23</v>
      </c>
      <c r="D337" s="29">
        <f>H336</f>
        <v/>
      </c>
      <c r="E337" s="30">
        <f>MIN('Дашборд и Сводка'!$C$9, ROUNDUP(D337/'Дашборд и Сводка'!$C$6, 0)*0.01)</f>
        <v/>
      </c>
      <c r="F337" s="45">
        <f>'Дашборд и Сводка'!$C$7</f>
        <v/>
      </c>
      <c r="G337" s="29">
        <f>E337*F337*'Дашборд и Сводка'!$C$8</f>
        <v/>
      </c>
      <c r="H337" s="29">
        <f>D337+G337</f>
        <v/>
      </c>
    </row>
    <row r="338" ht="20" customHeight="1">
      <c r="A338" s="33" t="inlineStr">
        <is>
          <t>Октябрь</t>
        </is>
      </c>
      <c r="B338" s="33" t="n">
        <v>297</v>
      </c>
      <c r="C338" s="33" t="n">
        <v>24</v>
      </c>
      <c r="D338" s="34">
        <f>H337</f>
        <v/>
      </c>
      <c r="E338" s="35">
        <f>MIN('Дашборд и Сводка'!$C$9, ROUNDUP(D338/'Дашборд и Сводка'!$C$6, 0)*0.01)</f>
        <v/>
      </c>
      <c r="F338" s="46">
        <f>'Дашборд и Сводка'!$C$7</f>
        <v/>
      </c>
      <c r="G338" s="34">
        <f>E338*F338*'Дашборд и Сводка'!$C$8</f>
        <v/>
      </c>
      <c r="H338" s="34">
        <f>D338+G338</f>
        <v/>
      </c>
    </row>
    <row r="339" ht="20" customHeight="1">
      <c r="A339" s="28" t="inlineStr">
        <is>
          <t>Октябрь</t>
        </is>
      </c>
      <c r="B339" s="28" t="n">
        <v>298</v>
      </c>
      <c r="C339" s="28" t="n">
        <v>25</v>
      </c>
      <c r="D339" s="29">
        <f>H338</f>
        <v/>
      </c>
      <c r="E339" s="30">
        <f>MIN('Дашборд и Сводка'!$C$9, ROUNDUP(D339/'Дашборд и Сводка'!$C$6, 0)*0.01)</f>
        <v/>
      </c>
      <c r="F339" s="45">
        <f>'Дашборд и Сводка'!$C$7</f>
        <v/>
      </c>
      <c r="G339" s="29">
        <f>E339*F339*'Дашборд и Сводка'!$C$8</f>
        <v/>
      </c>
      <c r="H339" s="29">
        <f>D339+G339</f>
        <v/>
      </c>
    </row>
    <row r="340" ht="20" customHeight="1">
      <c r="A340" s="33" t="inlineStr">
        <is>
          <t>Октябрь</t>
        </is>
      </c>
      <c r="B340" s="33" t="n">
        <v>299</v>
      </c>
      <c r="C340" s="33" t="n">
        <v>26</v>
      </c>
      <c r="D340" s="34">
        <f>H339</f>
        <v/>
      </c>
      <c r="E340" s="35">
        <f>MIN('Дашборд и Сводка'!$C$9, ROUNDUP(D340/'Дашборд и Сводка'!$C$6, 0)*0.01)</f>
        <v/>
      </c>
      <c r="F340" s="46">
        <f>'Дашборд и Сводка'!$C$7</f>
        <v/>
      </c>
      <c r="G340" s="34">
        <f>E340*F340*'Дашборд и Сводка'!$C$8</f>
        <v/>
      </c>
      <c r="H340" s="34">
        <f>D340+G340</f>
        <v/>
      </c>
    </row>
    <row r="341" ht="20" customHeight="1">
      <c r="A341" s="28" t="inlineStr">
        <is>
          <t>Октябрь</t>
        </is>
      </c>
      <c r="B341" s="28" t="n">
        <v>300</v>
      </c>
      <c r="C341" s="28" t="n">
        <v>27</v>
      </c>
      <c r="D341" s="29">
        <f>H340</f>
        <v/>
      </c>
      <c r="E341" s="30">
        <f>MIN('Дашборд и Сводка'!$C$9, ROUNDUP(D341/'Дашборд и Сводка'!$C$6, 0)*0.01)</f>
        <v/>
      </c>
      <c r="F341" s="45">
        <f>'Дашборд и Сводка'!$C$7</f>
        <v/>
      </c>
      <c r="G341" s="29">
        <f>E341*F341*'Дашборд и Сводка'!$C$8</f>
        <v/>
      </c>
      <c r="H341" s="29">
        <f>D341+G341</f>
        <v/>
      </c>
    </row>
    <row r="342" ht="20" customHeight="1">
      <c r="A342" s="33" t="inlineStr">
        <is>
          <t>Октябрь</t>
        </is>
      </c>
      <c r="B342" s="33" t="n">
        <v>301</v>
      </c>
      <c r="C342" s="33" t="n">
        <v>28</v>
      </c>
      <c r="D342" s="34">
        <f>H341</f>
        <v/>
      </c>
      <c r="E342" s="35">
        <f>MIN('Дашборд и Сводка'!$C$9, ROUNDUP(D342/'Дашборд и Сводка'!$C$6, 0)*0.01)</f>
        <v/>
      </c>
      <c r="F342" s="46">
        <f>'Дашборд и Сводка'!$C$7</f>
        <v/>
      </c>
      <c r="G342" s="34">
        <f>E342*F342*'Дашборд и Сводка'!$C$8</f>
        <v/>
      </c>
      <c r="H342" s="34">
        <f>D342+G342</f>
        <v/>
      </c>
    </row>
    <row r="343" ht="20" customHeight="1">
      <c r="A343" s="28" t="inlineStr">
        <is>
          <t>Октябрь</t>
        </is>
      </c>
      <c r="B343" s="28" t="n">
        <v>302</v>
      </c>
      <c r="C343" s="28" t="n">
        <v>29</v>
      </c>
      <c r="D343" s="29">
        <f>H342</f>
        <v/>
      </c>
      <c r="E343" s="30">
        <f>MIN('Дашборд и Сводка'!$C$9, ROUNDUP(D343/'Дашборд и Сводка'!$C$6, 0)*0.01)</f>
        <v/>
      </c>
      <c r="F343" s="45">
        <f>'Дашборд и Сводка'!$C$7</f>
        <v/>
      </c>
      <c r="G343" s="29">
        <f>E343*F343*'Дашборд и Сводка'!$C$8</f>
        <v/>
      </c>
      <c r="H343" s="29">
        <f>D343+G343</f>
        <v/>
      </c>
    </row>
    <row r="344" ht="20" customHeight="1">
      <c r="A344" s="33" t="inlineStr">
        <is>
          <t>Октябрь</t>
        </is>
      </c>
      <c r="B344" s="33" t="n">
        <v>303</v>
      </c>
      <c r="C344" s="33" t="n">
        <v>30</v>
      </c>
      <c r="D344" s="34">
        <f>H343</f>
        <v/>
      </c>
      <c r="E344" s="35">
        <f>MIN('Дашборд и Сводка'!$C$9, ROUNDUP(D344/'Дашборд и Сводка'!$C$6, 0)*0.01)</f>
        <v/>
      </c>
      <c r="F344" s="46">
        <f>'Дашборд и Сводка'!$C$7</f>
        <v/>
      </c>
      <c r="G344" s="34">
        <f>E344*F344*'Дашборд и Сводка'!$C$8</f>
        <v/>
      </c>
      <c r="H344" s="34">
        <f>D344+G344</f>
        <v/>
      </c>
    </row>
    <row r="345" ht="20" customHeight="1">
      <c r="A345" s="28" t="inlineStr">
        <is>
          <t>Октябрь</t>
        </is>
      </c>
      <c r="B345" s="28" t="n">
        <v>304</v>
      </c>
      <c r="C345" s="28" t="n">
        <v>31</v>
      </c>
      <c r="D345" s="29">
        <f>H344</f>
        <v/>
      </c>
      <c r="E345" s="30">
        <f>MIN('Дашборд и Сводка'!$C$9, ROUNDUP(D345/'Дашборд и Сводка'!$C$6, 0)*0.01)</f>
        <v/>
      </c>
      <c r="F345" s="45">
        <f>'Дашборд и Сводка'!$C$7</f>
        <v/>
      </c>
      <c r="G345" s="29">
        <f>E345*F345*'Дашборд и Сводка'!$C$8</f>
        <v/>
      </c>
      <c r="H345" s="29">
        <f>D345+G345</f>
        <v/>
      </c>
    </row>
    <row r="346" ht="24" customHeight="1">
      <c r="A346" s="56" t="inlineStr">
        <is>
          <t>ИТОГО ЗА ОКТЯБРЬ:</t>
        </is>
      </c>
      <c r="B346" s="48" t="n"/>
      <c r="C346" s="48" t="n"/>
      <c r="D346" s="57">
        <f>D315</f>
        <v/>
      </c>
      <c r="E346" s="58">
        <f>MAX(E315:E345)</f>
        <v/>
      </c>
      <c r="F346" s="59">
        <f>'Дашборд и Сводка'!$C$7</f>
        <v/>
      </c>
      <c r="G346" s="60">
        <f>SUM(G315:G345)</f>
        <v/>
      </c>
      <c r="H346" s="61">
        <f>H345</f>
        <v/>
      </c>
    </row>
    <row r="348" ht="26" customHeight="1">
      <c r="A348" s="55" t="inlineStr">
        <is>
          <t>МЕСЯЦ 11: НОЯБРЬ (30 торговых дней)</t>
        </is>
      </c>
    </row>
    <row r="349" ht="24" customHeight="1">
      <c r="A349" s="44" t="inlineStr">
        <is>
          <t>Месяц</t>
        </is>
      </c>
      <c r="B349" s="44" t="inlineStr">
        <is>
          <t>День года</t>
        </is>
      </c>
      <c r="C349" s="44" t="inlineStr">
        <is>
          <t>День месяца</t>
        </is>
      </c>
      <c r="D349" s="44" t="inlineStr">
        <is>
          <t>Начальный депозит ($)</t>
        </is>
      </c>
      <c r="E349" s="44" t="inlineStr">
        <is>
          <t>Размер лота</t>
        </is>
      </c>
      <c r="F349" s="44" t="inlineStr">
        <is>
          <t>Цель (пунктов)</t>
        </is>
      </c>
      <c r="G349" s="44" t="inlineStr">
        <is>
          <t>Прибыль за день ($)</t>
        </is>
      </c>
      <c r="H349" s="44" t="inlineStr">
        <is>
          <t>Итоговый баланс ($)</t>
        </is>
      </c>
    </row>
    <row r="350" ht="20" customHeight="1">
      <c r="A350" s="28" t="inlineStr">
        <is>
          <t>Ноябрь</t>
        </is>
      </c>
      <c r="B350" s="28" t="n">
        <v>305</v>
      </c>
      <c r="C350" s="28" t="n">
        <v>1</v>
      </c>
      <c r="D350" s="29">
        <f>H345</f>
        <v/>
      </c>
      <c r="E350" s="30">
        <f>MIN('Дашборд и Сводка'!$C$9, ROUNDUP(D350/'Дашборд и Сводка'!$C$6, 0)*0.01)</f>
        <v/>
      </c>
      <c r="F350" s="45">
        <f>'Дашборд и Сводка'!$C$7</f>
        <v/>
      </c>
      <c r="G350" s="29">
        <f>E350*F350*'Дашборд и Сводка'!$C$8</f>
        <v/>
      </c>
      <c r="H350" s="29">
        <f>D350+G350</f>
        <v/>
      </c>
    </row>
    <row r="351" ht="20" customHeight="1">
      <c r="A351" s="33" t="inlineStr">
        <is>
          <t>Ноябрь</t>
        </is>
      </c>
      <c r="B351" s="33" t="n">
        <v>306</v>
      </c>
      <c r="C351" s="33" t="n">
        <v>2</v>
      </c>
      <c r="D351" s="34">
        <f>H350</f>
        <v/>
      </c>
      <c r="E351" s="35">
        <f>MIN('Дашборд и Сводка'!$C$9, ROUNDUP(D351/'Дашборд и Сводка'!$C$6, 0)*0.01)</f>
        <v/>
      </c>
      <c r="F351" s="46">
        <f>'Дашборд и Сводка'!$C$7</f>
        <v/>
      </c>
      <c r="G351" s="34">
        <f>E351*F351*'Дашборд и Сводка'!$C$8</f>
        <v/>
      </c>
      <c r="H351" s="34">
        <f>D351+G351</f>
        <v/>
      </c>
    </row>
    <row r="352" ht="20" customHeight="1">
      <c r="A352" s="28" t="inlineStr">
        <is>
          <t>Ноябрь</t>
        </is>
      </c>
      <c r="B352" s="28" t="n">
        <v>307</v>
      </c>
      <c r="C352" s="28" t="n">
        <v>3</v>
      </c>
      <c r="D352" s="29">
        <f>H351</f>
        <v/>
      </c>
      <c r="E352" s="30">
        <f>MIN('Дашборд и Сводка'!$C$9, ROUNDUP(D352/'Дашборд и Сводка'!$C$6, 0)*0.01)</f>
        <v/>
      </c>
      <c r="F352" s="45">
        <f>'Дашборд и Сводка'!$C$7</f>
        <v/>
      </c>
      <c r="G352" s="29">
        <f>E352*F352*'Дашборд и Сводка'!$C$8</f>
        <v/>
      </c>
      <c r="H352" s="29">
        <f>D352+G352</f>
        <v/>
      </c>
    </row>
    <row r="353" ht="20" customHeight="1">
      <c r="A353" s="33" t="inlineStr">
        <is>
          <t>Ноябрь</t>
        </is>
      </c>
      <c r="B353" s="33" t="n">
        <v>308</v>
      </c>
      <c r="C353" s="33" t="n">
        <v>4</v>
      </c>
      <c r="D353" s="34">
        <f>H352</f>
        <v/>
      </c>
      <c r="E353" s="35">
        <f>MIN('Дашборд и Сводка'!$C$9, ROUNDUP(D353/'Дашборд и Сводка'!$C$6, 0)*0.01)</f>
        <v/>
      </c>
      <c r="F353" s="46">
        <f>'Дашборд и Сводка'!$C$7</f>
        <v/>
      </c>
      <c r="G353" s="34">
        <f>E353*F353*'Дашборд и Сводка'!$C$8</f>
        <v/>
      </c>
      <c r="H353" s="34">
        <f>D353+G353</f>
        <v/>
      </c>
    </row>
    <row r="354" ht="20" customHeight="1">
      <c r="A354" s="28" t="inlineStr">
        <is>
          <t>Ноябрь</t>
        </is>
      </c>
      <c r="B354" s="28" t="n">
        <v>309</v>
      </c>
      <c r="C354" s="28" t="n">
        <v>5</v>
      </c>
      <c r="D354" s="29">
        <f>H353</f>
        <v/>
      </c>
      <c r="E354" s="30">
        <f>MIN('Дашборд и Сводка'!$C$9, ROUNDUP(D354/'Дашборд и Сводка'!$C$6, 0)*0.01)</f>
        <v/>
      </c>
      <c r="F354" s="45">
        <f>'Дашборд и Сводка'!$C$7</f>
        <v/>
      </c>
      <c r="G354" s="29">
        <f>E354*F354*'Дашборд и Сводка'!$C$8</f>
        <v/>
      </c>
      <c r="H354" s="29">
        <f>D354+G354</f>
        <v/>
      </c>
    </row>
    <row r="355" ht="20" customHeight="1">
      <c r="A355" s="33" t="inlineStr">
        <is>
          <t>Ноябрь</t>
        </is>
      </c>
      <c r="B355" s="33" t="n">
        <v>310</v>
      </c>
      <c r="C355" s="33" t="n">
        <v>6</v>
      </c>
      <c r="D355" s="34">
        <f>H354</f>
        <v/>
      </c>
      <c r="E355" s="35">
        <f>MIN('Дашборд и Сводка'!$C$9, ROUNDUP(D355/'Дашборд и Сводка'!$C$6, 0)*0.01)</f>
        <v/>
      </c>
      <c r="F355" s="46">
        <f>'Дашборд и Сводка'!$C$7</f>
        <v/>
      </c>
      <c r="G355" s="34">
        <f>E355*F355*'Дашборд и Сводка'!$C$8</f>
        <v/>
      </c>
      <c r="H355" s="34">
        <f>D355+G355</f>
        <v/>
      </c>
    </row>
    <row r="356" ht="20" customHeight="1">
      <c r="A356" s="28" t="inlineStr">
        <is>
          <t>Ноябрь</t>
        </is>
      </c>
      <c r="B356" s="28" t="n">
        <v>311</v>
      </c>
      <c r="C356" s="28" t="n">
        <v>7</v>
      </c>
      <c r="D356" s="29">
        <f>H355</f>
        <v/>
      </c>
      <c r="E356" s="30">
        <f>MIN('Дашборд и Сводка'!$C$9, ROUNDUP(D356/'Дашборд и Сводка'!$C$6, 0)*0.01)</f>
        <v/>
      </c>
      <c r="F356" s="45">
        <f>'Дашборд и Сводка'!$C$7</f>
        <v/>
      </c>
      <c r="G356" s="29">
        <f>E356*F356*'Дашборд и Сводка'!$C$8</f>
        <v/>
      </c>
      <c r="H356" s="29">
        <f>D356+G356</f>
        <v/>
      </c>
    </row>
    <row r="357" ht="20" customHeight="1">
      <c r="A357" s="33" t="inlineStr">
        <is>
          <t>Ноябрь</t>
        </is>
      </c>
      <c r="B357" s="33" t="n">
        <v>312</v>
      </c>
      <c r="C357" s="33" t="n">
        <v>8</v>
      </c>
      <c r="D357" s="34">
        <f>H356</f>
        <v/>
      </c>
      <c r="E357" s="35">
        <f>MIN('Дашборд и Сводка'!$C$9, ROUNDUP(D357/'Дашборд и Сводка'!$C$6, 0)*0.01)</f>
        <v/>
      </c>
      <c r="F357" s="46">
        <f>'Дашборд и Сводка'!$C$7</f>
        <v/>
      </c>
      <c r="G357" s="34">
        <f>E357*F357*'Дашборд и Сводка'!$C$8</f>
        <v/>
      </c>
      <c r="H357" s="34">
        <f>D357+G357</f>
        <v/>
      </c>
    </row>
    <row r="358" ht="20" customHeight="1">
      <c r="A358" s="28" t="inlineStr">
        <is>
          <t>Ноябрь</t>
        </is>
      </c>
      <c r="B358" s="28" t="n">
        <v>313</v>
      </c>
      <c r="C358" s="28" t="n">
        <v>9</v>
      </c>
      <c r="D358" s="29">
        <f>H357</f>
        <v/>
      </c>
      <c r="E358" s="30">
        <f>MIN('Дашборд и Сводка'!$C$9, ROUNDUP(D358/'Дашборд и Сводка'!$C$6, 0)*0.01)</f>
        <v/>
      </c>
      <c r="F358" s="45">
        <f>'Дашборд и Сводка'!$C$7</f>
        <v/>
      </c>
      <c r="G358" s="29">
        <f>E358*F358*'Дашборд и Сводка'!$C$8</f>
        <v/>
      </c>
      <c r="H358" s="29">
        <f>D358+G358</f>
        <v/>
      </c>
    </row>
    <row r="359" ht="20" customHeight="1">
      <c r="A359" s="33" t="inlineStr">
        <is>
          <t>Ноябрь</t>
        </is>
      </c>
      <c r="B359" s="33" t="n">
        <v>314</v>
      </c>
      <c r="C359" s="33" t="n">
        <v>10</v>
      </c>
      <c r="D359" s="34">
        <f>H358</f>
        <v/>
      </c>
      <c r="E359" s="35">
        <f>MIN('Дашборд и Сводка'!$C$9, ROUNDUP(D359/'Дашборд и Сводка'!$C$6, 0)*0.01)</f>
        <v/>
      </c>
      <c r="F359" s="46">
        <f>'Дашборд и Сводка'!$C$7</f>
        <v/>
      </c>
      <c r="G359" s="34">
        <f>E359*F359*'Дашборд и Сводка'!$C$8</f>
        <v/>
      </c>
      <c r="H359" s="34">
        <f>D359+G359</f>
        <v/>
      </c>
    </row>
    <row r="360" ht="20" customHeight="1">
      <c r="A360" s="28" t="inlineStr">
        <is>
          <t>Ноябрь</t>
        </is>
      </c>
      <c r="B360" s="28" t="n">
        <v>315</v>
      </c>
      <c r="C360" s="28" t="n">
        <v>11</v>
      </c>
      <c r="D360" s="29">
        <f>H359</f>
        <v/>
      </c>
      <c r="E360" s="30">
        <f>MIN('Дашборд и Сводка'!$C$9, ROUNDUP(D360/'Дашборд и Сводка'!$C$6, 0)*0.01)</f>
        <v/>
      </c>
      <c r="F360" s="45">
        <f>'Дашборд и Сводка'!$C$7</f>
        <v/>
      </c>
      <c r="G360" s="29">
        <f>E360*F360*'Дашборд и Сводка'!$C$8</f>
        <v/>
      </c>
      <c r="H360" s="29">
        <f>D360+G360</f>
        <v/>
      </c>
    </row>
    <row r="361" ht="20" customHeight="1">
      <c r="A361" s="33" t="inlineStr">
        <is>
          <t>Ноябрь</t>
        </is>
      </c>
      <c r="B361" s="33" t="n">
        <v>316</v>
      </c>
      <c r="C361" s="33" t="n">
        <v>12</v>
      </c>
      <c r="D361" s="34">
        <f>H360</f>
        <v/>
      </c>
      <c r="E361" s="35">
        <f>MIN('Дашборд и Сводка'!$C$9, ROUNDUP(D361/'Дашборд и Сводка'!$C$6, 0)*0.01)</f>
        <v/>
      </c>
      <c r="F361" s="46">
        <f>'Дашборд и Сводка'!$C$7</f>
        <v/>
      </c>
      <c r="G361" s="34">
        <f>E361*F361*'Дашборд и Сводка'!$C$8</f>
        <v/>
      </c>
      <c r="H361" s="34">
        <f>D361+G361</f>
        <v/>
      </c>
    </row>
    <row r="362" ht="20" customHeight="1">
      <c r="A362" s="28" t="inlineStr">
        <is>
          <t>Ноябрь</t>
        </is>
      </c>
      <c r="B362" s="28" t="n">
        <v>317</v>
      </c>
      <c r="C362" s="28" t="n">
        <v>13</v>
      </c>
      <c r="D362" s="29">
        <f>H361</f>
        <v/>
      </c>
      <c r="E362" s="30">
        <f>MIN('Дашборд и Сводка'!$C$9, ROUNDUP(D362/'Дашборд и Сводка'!$C$6, 0)*0.01)</f>
        <v/>
      </c>
      <c r="F362" s="45">
        <f>'Дашборд и Сводка'!$C$7</f>
        <v/>
      </c>
      <c r="G362" s="29">
        <f>E362*F362*'Дашборд и Сводка'!$C$8</f>
        <v/>
      </c>
      <c r="H362" s="29">
        <f>D362+G362</f>
        <v/>
      </c>
    </row>
    <row r="363" ht="20" customHeight="1">
      <c r="A363" s="33" t="inlineStr">
        <is>
          <t>Ноябрь</t>
        </is>
      </c>
      <c r="B363" s="33" t="n">
        <v>318</v>
      </c>
      <c r="C363" s="33" t="n">
        <v>14</v>
      </c>
      <c r="D363" s="34">
        <f>H362</f>
        <v/>
      </c>
      <c r="E363" s="35">
        <f>MIN('Дашборд и Сводка'!$C$9, ROUNDUP(D363/'Дашборд и Сводка'!$C$6, 0)*0.01)</f>
        <v/>
      </c>
      <c r="F363" s="46">
        <f>'Дашборд и Сводка'!$C$7</f>
        <v/>
      </c>
      <c r="G363" s="34">
        <f>E363*F363*'Дашборд и Сводка'!$C$8</f>
        <v/>
      </c>
      <c r="H363" s="34">
        <f>D363+G363</f>
        <v/>
      </c>
    </row>
    <row r="364" ht="20" customHeight="1">
      <c r="A364" s="28" t="inlineStr">
        <is>
          <t>Ноябрь</t>
        </is>
      </c>
      <c r="B364" s="28" t="n">
        <v>319</v>
      </c>
      <c r="C364" s="28" t="n">
        <v>15</v>
      </c>
      <c r="D364" s="29">
        <f>H363</f>
        <v/>
      </c>
      <c r="E364" s="30">
        <f>MIN('Дашборд и Сводка'!$C$9, ROUNDUP(D364/'Дашборд и Сводка'!$C$6, 0)*0.01)</f>
        <v/>
      </c>
      <c r="F364" s="45">
        <f>'Дашборд и Сводка'!$C$7</f>
        <v/>
      </c>
      <c r="G364" s="29">
        <f>E364*F364*'Дашборд и Сводка'!$C$8</f>
        <v/>
      </c>
      <c r="H364" s="29">
        <f>D364+G364</f>
        <v/>
      </c>
    </row>
    <row r="365" ht="20" customHeight="1">
      <c r="A365" s="33" t="inlineStr">
        <is>
          <t>Ноябрь</t>
        </is>
      </c>
      <c r="B365" s="33" t="n">
        <v>320</v>
      </c>
      <c r="C365" s="33" t="n">
        <v>16</v>
      </c>
      <c r="D365" s="34">
        <f>H364</f>
        <v/>
      </c>
      <c r="E365" s="35">
        <f>MIN('Дашборд и Сводка'!$C$9, ROUNDUP(D365/'Дашборд и Сводка'!$C$6, 0)*0.01)</f>
        <v/>
      </c>
      <c r="F365" s="46">
        <f>'Дашборд и Сводка'!$C$7</f>
        <v/>
      </c>
      <c r="G365" s="34">
        <f>E365*F365*'Дашборд и Сводка'!$C$8</f>
        <v/>
      </c>
      <c r="H365" s="34">
        <f>D365+G365</f>
        <v/>
      </c>
    </row>
    <row r="366" ht="20" customHeight="1">
      <c r="A366" s="28" t="inlineStr">
        <is>
          <t>Ноябрь</t>
        </is>
      </c>
      <c r="B366" s="28" t="n">
        <v>321</v>
      </c>
      <c r="C366" s="28" t="n">
        <v>17</v>
      </c>
      <c r="D366" s="29">
        <f>H365</f>
        <v/>
      </c>
      <c r="E366" s="30">
        <f>MIN('Дашборд и Сводка'!$C$9, ROUNDUP(D366/'Дашборд и Сводка'!$C$6, 0)*0.01)</f>
        <v/>
      </c>
      <c r="F366" s="45">
        <f>'Дашборд и Сводка'!$C$7</f>
        <v/>
      </c>
      <c r="G366" s="29">
        <f>E366*F366*'Дашборд и Сводка'!$C$8</f>
        <v/>
      </c>
      <c r="H366" s="29">
        <f>D366+G366</f>
        <v/>
      </c>
    </row>
    <row r="367" ht="20" customHeight="1">
      <c r="A367" s="33" t="inlineStr">
        <is>
          <t>Ноябрь</t>
        </is>
      </c>
      <c r="B367" s="33" t="n">
        <v>322</v>
      </c>
      <c r="C367" s="33" t="n">
        <v>18</v>
      </c>
      <c r="D367" s="34">
        <f>H366</f>
        <v/>
      </c>
      <c r="E367" s="35">
        <f>MIN('Дашборд и Сводка'!$C$9, ROUNDUP(D367/'Дашборд и Сводка'!$C$6, 0)*0.01)</f>
        <v/>
      </c>
      <c r="F367" s="46">
        <f>'Дашборд и Сводка'!$C$7</f>
        <v/>
      </c>
      <c r="G367" s="34">
        <f>E367*F367*'Дашборд и Сводка'!$C$8</f>
        <v/>
      </c>
      <c r="H367" s="34">
        <f>D367+G367</f>
        <v/>
      </c>
    </row>
    <row r="368" ht="20" customHeight="1">
      <c r="A368" s="28" t="inlineStr">
        <is>
          <t>Ноябрь</t>
        </is>
      </c>
      <c r="B368" s="28" t="n">
        <v>323</v>
      </c>
      <c r="C368" s="28" t="n">
        <v>19</v>
      </c>
      <c r="D368" s="29">
        <f>H367</f>
        <v/>
      </c>
      <c r="E368" s="30">
        <f>MIN('Дашборд и Сводка'!$C$9, ROUNDUP(D368/'Дашборд и Сводка'!$C$6, 0)*0.01)</f>
        <v/>
      </c>
      <c r="F368" s="45">
        <f>'Дашборд и Сводка'!$C$7</f>
        <v/>
      </c>
      <c r="G368" s="29">
        <f>E368*F368*'Дашборд и Сводка'!$C$8</f>
        <v/>
      </c>
      <c r="H368" s="29">
        <f>D368+G368</f>
        <v/>
      </c>
    </row>
    <row r="369" ht="20" customHeight="1">
      <c r="A369" s="33" t="inlineStr">
        <is>
          <t>Ноябрь</t>
        </is>
      </c>
      <c r="B369" s="33" t="n">
        <v>324</v>
      </c>
      <c r="C369" s="33" t="n">
        <v>20</v>
      </c>
      <c r="D369" s="34">
        <f>H368</f>
        <v/>
      </c>
      <c r="E369" s="35">
        <f>MIN('Дашборд и Сводка'!$C$9, ROUNDUP(D369/'Дашборд и Сводка'!$C$6, 0)*0.01)</f>
        <v/>
      </c>
      <c r="F369" s="46">
        <f>'Дашборд и Сводка'!$C$7</f>
        <v/>
      </c>
      <c r="G369" s="34">
        <f>E369*F369*'Дашборд и Сводка'!$C$8</f>
        <v/>
      </c>
      <c r="H369" s="34">
        <f>D369+G369</f>
        <v/>
      </c>
    </row>
    <row r="370" ht="20" customHeight="1">
      <c r="A370" s="28" t="inlineStr">
        <is>
          <t>Ноябрь</t>
        </is>
      </c>
      <c r="B370" s="28" t="n">
        <v>325</v>
      </c>
      <c r="C370" s="28" t="n">
        <v>21</v>
      </c>
      <c r="D370" s="29">
        <f>H369</f>
        <v/>
      </c>
      <c r="E370" s="30">
        <f>MIN('Дашборд и Сводка'!$C$9, ROUNDUP(D370/'Дашборд и Сводка'!$C$6, 0)*0.01)</f>
        <v/>
      </c>
      <c r="F370" s="45">
        <f>'Дашборд и Сводка'!$C$7</f>
        <v/>
      </c>
      <c r="G370" s="29">
        <f>E370*F370*'Дашборд и Сводка'!$C$8</f>
        <v/>
      </c>
      <c r="H370" s="29">
        <f>D370+G370</f>
        <v/>
      </c>
    </row>
    <row r="371" ht="20" customHeight="1">
      <c r="A371" s="33" t="inlineStr">
        <is>
          <t>Ноябрь</t>
        </is>
      </c>
      <c r="B371" s="33" t="n">
        <v>326</v>
      </c>
      <c r="C371" s="33" t="n">
        <v>22</v>
      </c>
      <c r="D371" s="34">
        <f>H370</f>
        <v/>
      </c>
      <c r="E371" s="35">
        <f>MIN('Дашборд и Сводка'!$C$9, ROUNDUP(D371/'Дашборд и Сводка'!$C$6, 0)*0.01)</f>
        <v/>
      </c>
      <c r="F371" s="46">
        <f>'Дашборд и Сводка'!$C$7</f>
        <v/>
      </c>
      <c r="G371" s="34">
        <f>E371*F371*'Дашборд и Сводка'!$C$8</f>
        <v/>
      </c>
      <c r="H371" s="34">
        <f>D371+G371</f>
        <v/>
      </c>
    </row>
    <row r="372" ht="20" customHeight="1">
      <c r="A372" s="28" t="inlineStr">
        <is>
          <t>Ноябрь</t>
        </is>
      </c>
      <c r="B372" s="28" t="n">
        <v>327</v>
      </c>
      <c r="C372" s="28" t="n">
        <v>23</v>
      </c>
      <c r="D372" s="29">
        <f>H371</f>
        <v/>
      </c>
      <c r="E372" s="30">
        <f>MIN('Дашборд и Сводка'!$C$9, ROUNDUP(D372/'Дашборд и Сводка'!$C$6, 0)*0.01)</f>
        <v/>
      </c>
      <c r="F372" s="45">
        <f>'Дашборд и Сводка'!$C$7</f>
        <v/>
      </c>
      <c r="G372" s="29">
        <f>E372*F372*'Дашборд и Сводка'!$C$8</f>
        <v/>
      </c>
      <c r="H372" s="29">
        <f>D372+G372</f>
        <v/>
      </c>
    </row>
    <row r="373" ht="20" customHeight="1">
      <c r="A373" s="33" t="inlineStr">
        <is>
          <t>Ноябрь</t>
        </is>
      </c>
      <c r="B373" s="33" t="n">
        <v>328</v>
      </c>
      <c r="C373" s="33" t="n">
        <v>24</v>
      </c>
      <c r="D373" s="34">
        <f>H372</f>
        <v/>
      </c>
      <c r="E373" s="35">
        <f>MIN('Дашборд и Сводка'!$C$9, ROUNDUP(D373/'Дашборд и Сводка'!$C$6, 0)*0.01)</f>
        <v/>
      </c>
      <c r="F373" s="46">
        <f>'Дашборд и Сводка'!$C$7</f>
        <v/>
      </c>
      <c r="G373" s="34">
        <f>E373*F373*'Дашборд и Сводка'!$C$8</f>
        <v/>
      </c>
      <c r="H373" s="34">
        <f>D373+G373</f>
        <v/>
      </c>
    </row>
    <row r="374" ht="20" customHeight="1">
      <c r="A374" s="28" t="inlineStr">
        <is>
          <t>Ноябрь</t>
        </is>
      </c>
      <c r="B374" s="28" t="n">
        <v>329</v>
      </c>
      <c r="C374" s="28" t="n">
        <v>25</v>
      </c>
      <c r="D374" s="29">
        <f>H373</f>
        <v/>
      </c>
      <c r="E374" s="30">
        <f>MIN('Дашборд и Сводка'!$C$9, ROUNDUP(D374/'Дашборд и Сводка'!$C$6, 0)*0.01)</f>
        <v/>
      </c>
      <c r="F374" s="45">
        <f>'Дашборд и Сводка'!$C$7</f>
        <v/>
      </c>
      <c r="G374" s="29">
        <f>E374*F374*'Дашборд и Сводка'!$C$8</f>
        <v/>
      </c>
      <c r="H374" s="29">
        <f>D374+G374</f>
        <v/>
      </c>
    </row>
    <row r="375" ht="20" customHeight="1">
      <c r="A375" s="33" t="inlineStr">
        <is>
          <t>Ноябрь</t>
        </is>
      </c>
      <c r="B375" s="33" t="n">
        <v>330</v>
      </c>
      <c r="C375" s="33" t="n">
        <v>26</v>
      </c>
      <c r="D375" s="34">
        <f>H374</f>
        <v/>
      </c>
      <c r="E375" s="35">
        <f>MIN('Дашборд и Сводка'!$C$9, ROUNDUP(D375/'Дашборд и Сводка'!$C$6, 0)*0.01)</f>
        <v/>
      </c>
      <c r="F375" s="46">
        <f>'Дашборд и Сводка'!$C$7</f>
        <v/>
      </c>
      <c r="G375" s="34">
        <f>E375*F375*'Дашборд и Сводка'!$C$8</f>
        <v/>
      </c>
      <c r="H375" s="34">
        <f>D375+G375</f>
        <v/>
      </c>
    </row>
    <row r="376" ht="20" customHeight="1">
      <c r="A376" s="28" t="inlineStr">
        <is>
          <t>Ноябрь</t>
        </is>
      </c>
      <c r="B376" s="28" t="n">
        <v>331</v>
      </c>
      <c r="C376" s="28" t="n">
        <v>27</v>
      </c>
      <c r="D376" s="29">
        <f>H375</f>
        <v/>
      </c>
      <c r="E376" s="30">
        <f>MIN('Дашборд и Сводка'!$C$9, ROUNDUP(D376/'Дашборд и Сводка'!$C$6, 0)*0.01)</f>
        <v/>
      </c>
      <c r="F376" s="45">
        <f>'Дашборд и Сводка'!$C$7</f>
        <v/>
      </c>
      <c r="G376" s="29">
        <f>E376*F376*'Дашборд и Сводка'!$C$8</f>
        <v/>
      </c>
      <c r="H376" s="29">
        <f>D376+G376</f>
        <v/>
      </c>
    </row>
    <row r="377" ht="20" customHeight="1">
      <c r="A377" s="33" t="inlineStr">
        <is>
          <t>Ноябрь</t>
        </is>
      </c>
      <c r="B377" s="33" t="n">
        <v>332</v>
      </c>
      <c r="C377" s="33" t="n">
        <v>28</v>
      </c>
      <c r="D377" s="34">
        <f>H376</f>
        <v/>
      </c>
      <c r="E377" s="35">
        <f>MIN('Дашборд и Сводка'!$C$9, ROUNDUP(D377/'Дашборд и Сводка'!$C$6, 0)*0.01)</f>
        <v/>
      </c>
      <c r="F377" s="46">
        <f>'Дашборд и Сводка'!$C$7</f>
        <v/>
      </c>
      <c r="G377" s="34">
        <f>E377*F377*'Дашборд и Сводка'!$C$8</f>
        <v/>
      </c>
      <c r="H377" s="34">
        <f>D377+G377</f>
        <v/>
      </c>
    </row>
    <row r="378" ht="20" customHeight="1">
      <c r="A378" s="28" t="inlineStr">
        <is>
          <t>Ноябрь</t>
        </is>
      </c>
      <c r="B378" s="28" t="n">
        <v>333</v>
      </c>
      <c r="C378" s="28" t="n">
        <v>29</v>
      </c>
      <c r="D378" s="29">
        <f>H377</f>
        <v/>
      </c>
      <c r="E378" s="30">
        <f>MIN('Дашборд и Сводка'!$C$9, ROUNDUP(D378/'Дашборд и Сводка'!$C$6, 0)*0.01)</f>
        <v/>
      </c>
      <c r="F378" s="45">
        <f>'Дашборд и Сводка'!$C$7</f>
        <v/>
      </c>
      <c r="G378" s="29">
        <f>E378*F378*'Дашборд и Сводка'!$C$8</f>
        <v/>
      </c>
      <c r="H378" s="29">
        <f>D378+G378</f>
        <v/>
      </c>
    </row>
    <row r="379" ht="20" customHeight="1">
      <c r="A379" s="33" t="inlineStr">
        <is>
          <t>Ноябрь</t>
        </is>
      </c>
      <c r="B379" s="33" t="n">
        <v>334</v>
      </c>
      <c r="C379" s="33" t="n">
        <v>30</v>
      </c>
      <c r="D379" s="34">
        <f>H378</f>
        <v/>
      </c>
      <c r="E379" s="35">
        <f>MIN('Дашборд и Сводка'!$C$9, ROUNDUP(D379/'Дашборд и Сводка'!$C$6, 0)*0.01)</f>
        <v/>
      </c>
      <c r="F379" s="46">
        <f>'Дашборд и Сводка'!$C$7</f>
        <v/>
      </c>
      <c r="G379" s="34">
        <f>E379*F379*'Дашборд и Сводка'!$C$8</f>
        <v/>
      </c>
      <c r="H379" s="34">
        <f>D379+G379</f>
        <v/>
      </c>
    </row>
    <row r="380" ht="24" customHeight="1">
      <c r="A380" s="56" t="inlineStr">
        <is>
          <t>ИТОГО ЗА НОЯБРЬ:</t>
        </is>
      </c>
      <c r="B380" s="48" t="n"/>
      <c r="C380" s="48" t="n"/>
      <c r="D380" s="57">
        <f>D350</f>
        <v/>
      </c>
      <c r="E380" s="58">
        <f>MAX(E350:E379)</f>
        <v/>
      </c>
      <c r="F380" s="59">
        <f>'Дашборд и Сводка'!$C$7</f>
        <v/>
      </c>
      <c r="G380" s="60">
        <f>SUM(G350:G379)</f>
        <v/>
      </c>
      <c r="H380" s="61">
        <f>H379</f>
        <v/>
      </c>
    </row>
    <row r="382" ht="26" customHeight="1">
      <c r="A382" s="55" t="inlineStr">
        <is>
          <t>МЕСЯЦ 12: ДЕКАБРЬ (31 торговых дней)</t>
        </is>
      </c>
    </row>
    <row r="383" ht="24" customHeight="1">
      <c r="A383" s="44" t="inlineStr">
        <is>
          <t>Месяц</t>
        </is>
      </c>
      <c r="B383" s="44" t="inlineStr">
        <is>
          <t>День года</t>
        </is>
      </c>
      <c r="C383" s="44" t="inlineStr">
        <is>
          <t>День месяца</t>
        </is>
      </c>
      <c r="D383" s="44" t="inlineStr">
        <is>
          <t>Начальный депозит ($)</t>
        </is>
      </c>
      <c r="E383" s="44" t="inlineStr">
        <is>
          <t>Размер лота</t>
        </is>
      </c>
      <c r="F383" s="44" t="inlineStr">
        <is>
          <t>Цель (пунктов)</t>
        </is>
      </c>
      <c r="G383" s="44" t="inlineStr">
        <is>
          <t>Прибыль за день ($)</t>
        </is>
      </c>
      <c r="H383" s="44" t="inlineStr">
        <is>
          <t>Итоговый баланс ($)</t>
        </is>
      </c>
    </row>
    <row r="384" ht="20" customHeight="1">
      <c r="A384" s="28" t="inlineStr">
        <is>
          <t>Декабрь</t>
        </is>
      </c>
      <c r="B384" s="28" t="n">
        <v>335</v>
      </c>
      <c r="C384" s="28" t="n">
        <v>1</v>
      </c>
      <c r="D384" s="29">
        <f>H379</f>
        <v/>
      </c>
      <c r="E384" s="30">
        <f>MIN('Дашборд и Сводка'!$C$9, ROUNDUP(D384/'Дашборд и Сводка'!$C$6, 0)*0.01)</f>
        <v/>
      </c>
      <c r="F384" s="45">
        <f>'Дашборд и Сводка'!$C$7</f>
        <v/>
      </c>
      <c r="G384" s="29">
        <f>E384*F384*'Дашборд и Сводка'!$C$8</f>
        <v/>
      </c>
      <c r="H384" s="29">
        <f>D384+G384</f>
        <v/>
      </c>
    </row>
    <row r="385" ht="20" customHeight="1">
      <c r="A385" s="33" t="inlineStr">
        <is>
          <t>Декабрь</t>
        </is>
      </c>
      <c r="B385" s="33" t="n">
        <v>336</v>
      </c>
      <c r="C385" s="33" t="n">
        <v>2</v>
      </c>
      <c r="D385" s="34">
        <f>H384</f>
        <v/>
      </c>
      <c r="E385" s="35">
        <f>MIN('Дашборд и Сводка'!$C$9, ROUNDUP(D385/'Дашборд и Сводка'!$C$6, 0)*0.01)</f>
        <v/>
      </c>
      <c r="F385" s="46">
        <f>'Дашборд и Сводка'!$C$7</f>
        <v/>
      </c>
      <c r="G385" s="34">
        <f>E385*F385*'Дашборд и Сводка'!$C$8</f>
        <v/>
      </c>
      <c r="H385" s="34">
        <f>D385+G385</f>
        <v/>
      </c>
    </row>
    <row r="386" ht="20" customHeight="1">
      <c r="A386" s="28" t="inlineStr">
        <is>
          <t>Декабрь</t>
        </is>
      </c>
      <c r="B386" s="28" t="n">
        <v>337</v>
      </c>
      <c r="C386" s="28" t="n">
        <v>3</v>
      </c>
      <c r="D386" s="29">
        <f>H385</f>
        <v/>
      </c>
      <c r="E386" s="30">
        <f>MIN('Дашборд и Сводка'!$C$9, ROUNDUP(D386/'Дашборд и Сводка'!$C$6, 0)*0.01)</f>
        <v/>
      </c>
      <c r="F386" s="45">
        <f>'Дашборд и Сводка'!$C$7</f>
        <v/>
      </c>
      <c r="G386" s="29">
        <f>E386*F386*'Дашборд и Сводка'!$C$8</f>
        <v/>
      </c>
      <c r="H386" s="29">
        <f>D386+G386</f>
        <v/>
      </c>
    </row>
    <row r="387" ht="20" customHeight="1">
      <c r="A387" s="33" t="inlineStr">
        <is>
          <t>Декабрь</t>
        </is>
      </c>
      <c r="B387" s="33" t="n">
        <v>338</v>
      </c>
      <c r="C387" s="33" t="n">
        <v>4</v>
      </c>
      <c r="D387" s="34">
        <f>H386</f>
        <v/>
      </c>
      <c r="E387" s="35">
        <f>MIN('Дашборд и Сводка'!$C$9, ROUNDUP(D387/'Дашборд и Сводка'!$C$6, 0)*0.01)</f>
        <v/>
      </c>
      <c r="F387" s="46">
        <f>'Дашборд и Сводка'!$C$7</f>
        <v/>
      </c>
      <c r="G387" s="34">
        <f>E387*F387*'Дашборд и Сводка'!$C$8</f>
        <v/>
      </c>
      <c r="H387" s="34">
        <f>D387+G387</f>
        <v/>
      </c>
    </row>
    <row r="388" ht="20" customHeight="1">
      <c r="A388" s="28" t="inlineStr">
        <is>
          <t>Декабрь</t>
        </is>
      </c>
      <c r="B388" s="28" t="n">
        <v>339</v>
      </c>
      <c r="C388" s="28" t="n">
        <v>5</v>
      </c>
      <c r="D388" s="29">
        <f>H387</f>
        <v/>
      </c>
      <c r="E388" s="30">
        <f>MIN('Дашборд и Сводка'!$C$9, ROUNDUP(D388/'Дашборд и Сводка'!$C$6, 0)*0.01)</f>
        <v/>
      </c>
      <c r="F388" s="45">
        <f>'Дашборд и Сводка'!$C$7</f>
        <v/>
      </c>
      <c r="G388" s="29">
        <f>E388*F388*'Дашборд и Сводка'!$C$8</f>
        <v/>
      </c>
      <c r="H388" s="29">
        <f>D388+G388</f>
        <v/>
      </c>
    </row>
    <row r="389" ht="20" customHeight="1">
      <c r="A389" s="33" t="inlineStr">
        <is>
          <t>Декабрь</t>
        </is>
      </c>
      <c r="B389" s="33" t="n">
        <v>340</v>
      </c>
      <c r="C389" s="33" t="n">
        <v>6</v>
      </c>
      <c r="D389" s="34">
        <f>H388</f>
        <v/>
      </c>
      <c r="E389" s="35">
        <f>MIN('Дашборд и Сводка'!$C$9, ROUNDUP(D389/'Дашборд и Сводка'!$C$6, 0)*0.01)</f>
        <v/>
      </c>
      <c r="F389" s="46">
        <f>'Дашборд и Сводка'!$C$7</f>
        <v/>
      </c>
      <c r="G389" s="34">
        <f>E389*F389*'Дашборд и Сводка'!$C$8</f>
        <v/>
      </c>
      <c r="H389" s="34">
        <f>D389+G389</f>
        <v/>
      </c>
    </row>
    <row r="390" ht="20" customHeight="1">
      <c r="A390" s="28" t="inlineStr">
        <is>
          <t>Декабрь</t>
        </is>
      </c>
      <c r="B390" s="28" t="n">
        <v>341</v>
      </c>
      <c r="C390" s="28" t="n">
        <v>7</v>
      </c>
      <c r="D390" s="29">
        <f>H389</f>
        <v/>
      </c>
      <c r="E390" s="30">
        <f>MIN('Дашборд и Сводка'!$C$9, ROUNDUP(D390/'Дашборд и Сводка'!$C$6, 0)*0.01)</f>
        <v/>
      </c>
      <c r="F390" s="45">
        <f>'Дашборд и Сводка'!$C$7</f>
        <v/>
      </c>
      <c r="G390" s="29">
        <f>E390*F390*'Дашборд и Сводка'!$C$8</f>
        <v/>
      </c>
      <c r="H390" s="29">
        <f>D390+G390</f>
        <v/>
      </c>
    </row>
    <row r="391" ht="20" customHeight="1">
      <c r="A391" s="33" t="inlineStr">
        <is>
          <t>Декабрь</t>
        </is>
      </c>
      <c r="B391" s="33" t="n">
        <v>342</v>
      </c>
      <c r="C391" s="33" t="n">
        <v>8</v>
      </c>
      <c r="D391" s="34">
        <f>H390</f>
        <v/>
      </c>
      <c r="E391" s="35">
        <f>MIN('Дашборд и Сводка'!$C$9, ROUNDUP(D391/'Дашборд и Сводка'!$C$6, 0)*0.01)</f>
        <v/>
      </c>
      <c r="F391" s="46">
        <f>'Дашборд и Сводка'!$C$7</f>
        <v/>
      </c>
      <c r="G391" s="34">
        <f>E391*F391*'Дашборд и Сводка'!$C$8</f>
        <v/>
      </c>
      <c r="H391" s="34">
        <f>D391+G391</f>
        <v/>
      </c>
    </row>
    <row r="392" ht="20" customHeight="1">
      <c r="A392" s="28" t="inlineStr">
        <is>
          <t>Декабрь</t>
        </is>
      </c>
      <c r="B392" s="28" t="n">
        <v>343</v>
      </c>
      <c r="C392" s="28" t="n">
        <v>9</v>
      </c>
      <c r="D392" s="29">
        <f>H391</f>
        <v/>
      </c>
      <c r="E392" s="30">
        <f>MIN('Дашборд и Сводка'!$C$9, ROUNDUP(D392/'Дашборд и Сводка'!$C$6, 0)*0.01)</f>
        <v/>
      </c>
      <c r="F392" s="45">
        <f>'Дашборд и Сводка'!$C$7</f>
        <v/>
      </c>
      <c r="G392" s="29">
        <f>E392*F392*'Дашборд и Сводка'!$C$8</f>
        <v/>
      </c>
      <c r="H392" s="29">
        <f>D392+G392</f>
        <v/>
      </c>
    </row>
    <row r="393" ht="20" customHeight="1">
      <c r="A393" s="33" t="inlineStr">
        <is>
          <t>Декабрь</t>
        </is>
      </c>
      <c r="B393" s="33" t="n">
        <v>344</v>
      </c>
      <c r="C393" s="33" t="n">
        <v>10</v>
      </c>
      <c r="D393" s="34">
        <f>H392</f>
        <v/>
      </c>
      <c r="E393" s="35">
        <f>MIN('Дашборд и Сводка'!$C$9, ROUNDUP(D393/'Дашборд и Сводка'!$C$6, 0)*0.01)</f>
        <v/>
      </c>
      <c r="F393" s="46">
        <f>'Дашборд и Сводка'!$C$7</f>
        <v/>
      </c>
      <c r="G393" s="34">
        <f>E393*F393*'Дашборд и Сводка'!$C$8</f>
        <v/>
      </c>
      <c r="H393" s="34">
        <f>D393+G393</f>
        <v/>
      </c>
    </row>
    <row r="394" ht="20" customHeight="1">
      <c r="A394" s="28" t="inlineStr">
        <is>
          <t>Декабрь</t>
        </is>
      </c>
      <c r="B394" s="28" t="n">
        <v>345</v>
      </c>
      <c r="C394" s="28" t="n">
        <v>11</v>
      </c>
      <c r="D394" s="29">
        <f>H393</f>
        <v/>
      </c>
      <c r="E394" s="30">
        <f>MIN('Дашборд и Сводка'!$C$9, ROUNDUP(D394/'Дашборд и Сводка'!$C$6, 0)*0.01)</f>
        <v/>
      </c>
      <c r="F394" s="45">
        <f>'Дашборд и Сводка'!$C$7</f>
        <v/>
      </c>
      <c r="G394" s="29">
        <f>E394*F394*'Дашборд и Сводка'!$C$8</f>
        <v/>
      </c>
      <c r="H394" s="29">
        <f>D394+G394</f>
        <v/>
      </c>
    </row>
    <row r="395" ht="20" customHeight="1">
      <c r="A395" s="33" t="inlineStr">
        <is>
          <t>Декабрь</t>
        </is>
      </c>
      <c r="B395" s="33" t="n">
        <v>346</v>
      </c>
      <c r="C395" s="33" t="n">
        <v>12</v>
      </c>
      <c r="D395" s="34">
        <f>H394</f>
        <v/>
      </c>
      <c r="E395" s="35">
        <f>MIN('Дашборд и Сводка'!$C$9, ROUNDUP(D395/'Дашборд и Сводка'!$C$6, 0)*0.01)</f>
        <v/>
      </c>
      <c r="F395" s="46">
        <f>'Дашборд и Сводка'!$C$7</f>
        <v/>
      </c>
      <c r="G395" s="34">
        <f>E395*F395*'Дашборд и Сводка'!$C$8</f>
        <v/>
      </c>
      <c r="H395" s="34">
        <f>D395+G395</f>
        <v/>
      </c>
    </row>
    <row r="396" ht="20" customHeight="1">
      <c r="A396" s="28" t="inlineStr">
        <is>
          <t>Декабрь</t>
        </is>
      </c>
      <c r="B396" s="28" t="n">
        <v>347</v>
      </c>
      <c r="C396" s="28" t="n">
        <v>13</v>
      </c>
      <c r="D396" s="29">
        <f>H395</f>
        <v/>
      </c>
      <c r="E396" s="30">
        <f>MIN('Дашборд и Сводка'!$C$9, ROUNDUP(D396/'Дашборд и Сводка'!$C$6, 0)*0.01)</f>
        <v/>
      </c>
      <c r="F396" s="45">
        <f>'Дашборд и Сводка'!$C$7</f>
        <v/>
      </c>
      <c r="G396" s="29">
        <f>E396*F396*'Дашборд и Сводка'!$C$8</f>
        <v/>
      </c>
      <c r="H396" s="29">
        <f>D396+G396</f>
        <v/>
      </c>
    </row>
    <row r="397" ht="20" customHeight="1">
      <c r="A397" s="33" t="inlineStr">
        <is>
          <t>Декабрь</t>
        </is>
      </c>
      <c r="B397" s="33" t="n">
        <v>348</v>
      </c>
      <c r="C397" s="33" t="n">
        <v>14</v>
      </c>
      <c r="D397" s="34">
        <f>H396</f>
        <v/>
      </c>
      <c r="E397" s="35">
        <f>MIN('Дашборд и Сводка'!$C$9, ROUNDUP(D397/'Дашборд и Сводка'!$C$6, 0)*0.01)</f>
        <v/>
      </c>
      <c r="F397" s="46">
        <f>'Дашборд и Сводка'!$C$7</f>
        <v/>
      </c>
      <c r="G397" s="34">
        <f>E397*F397*'Дашборд и Сводка'!$C$8</f>
        <v/>
      </c>
      <c r="H397" s="34">
        <f>D397+G397</f>
        <v/>
      </c>
    </row>
    <row r="398" ht="20" customHeight="1">
      <c r="A398" s="28" t="inlineStr">
        <is>
          <t>Декабрь</t>
        </is>
      </c>
      <c r="B398" s="28" t="n">
        <v>349</v>
      </c>
      <c r="C398" s="28" t="n">
        <v>15</v>
      </c>
      <c r="D398" s="29">
        <f>H397</f>
        <v/>
      </c>
      <c r="E398" s="30">
        <f>MIN('Дашборд и Сводка'!$C$9, ROUNDUP(D398/'Дашборд и Сводка'!$C$6, 0)*0.01)</f>
        <v/>
      </c>
      <c r="F398" s="45">
        <f>'Дашборд и Сводка'!$C$7</f>
        <v/>
      </c>
      <c r="G398" s="29">
        <f>E398*F398*'Дашборд и Сводка'!$C$8</f>
        <v/>
      </c>
      <c r="H398" s="29">
        <f>D398+G398</f>
        <v/>
      </c>
    </row>
    <row r="399" ht="20" customHeight="1">
      <c r="A399" s="33" t="inlineStr">
        <is>
          <t>Декабрь</t>
        </is>
      </c>
      <c r="B399" s="33" t="n">
        <v>350</v>
      </c>
      <c r="C399" s="33" t="n">
        <v>16</v>
      </c>
      <c r="D399" s="34">
        <f>H398</f>
        <v/>
      </c>
      <c r="E399" s="35">
        <f>MIN('Дашборд и Сводка'!$C$9, ROUNDUP(D399/'Дашборд и Сводка'!$C$6, 0)*0.01)</f>
        <v/>
      </c>
      <c r="F399" s="46">
        <f>'Дашборд и Сводка'!$C$7</f>
        <v/>
      </c>
      <c r="G399" s="34">
        <f>E399*F399*'Дашборд и Сводка'!$C$8</f>
        <v/>
      </c>
      <c r="H399" s="34">
        <f>D399+G399</f>
        <v/>
      </c>
    </row>
    <row r="400" ht="20" customHeight="1">
      <c r="A400" s="28" t="inlineStr">
        <is>
          <t>Декабрь</t>
        </is>
      </c>
      <c r="B400" s="28" t="n">
        <v>351</v>
      </c>
      <c r="C400" s="28" t="n">
        <v>17</v>
      </c>
      <c r="D400" s="29">
        <f>H399</f>
        <v/>
      </c>
      <c r="E400" s="30">
        <f>MIN('Дашборд и Сводка'!$C$9, ROUNDUP(D400/'Дашборд и Сводка'!$C$6, 0)*0.01)</f>
        <v/>
      </c>
      <c r="F400" s="45">
        <f>'Дашборд и Сводка'!$C$7</f>
        <v/>
      </c>
      <c r="G400" s="29">
        <f>E400*F400*'Дашборд и Сводка'!$C$8</f>
        <v/>
      </c>
      <c r="H400" s="29">
        <f>D400+G400</f>
        <v/>
      </c>
    </row>
    <row r="401" ht="20" customHeight="1">
      <c r="A401" s="33" t="inlineStr">
        <is>
          <t>Декабрь</t>
        </is>
      </c>
      <c r="B401" s="33" t="n">
        <v>352</v>
      </c>
      <c r="C401" s="33" t="n">
        <v>18</v>
      </c>
      <c r="D401" s="34">
        <f>H400</f>
        <v/>
      </c>
      <c r="E401" s="35">
        <f>MIN('Дашборд и Сводка'!$C$9, ROUNDUP(D401/'Дашборд и Сводка'!$C$6, 0)*0.01)</f>
        <v/>
      </c>
      <c r="F401" s="46">
        <f>'Дашборд и Сводка'!$C$7</f>
        <v/>
      </c>
      <c r="G401" s="34">
        <f>E401*F401*'Дашборд и Сводка'!$C$8</f>
        <v/>
      </c>
      <c r="H401" s="34">
        <f>D401+G401</f>
        <v/>
      </c>
    </row>
    <row r="402" ht="20" customHeight="1">
      <c r="A402" s="28" t="inlineStr">
        <is>
          <t>Декабрь</t>
        </is>
      </c>
      <c r="B402" s="28" t="n">
        <v>353</v>
      </c>
      <c r="C402" s="28" t="n">
        <v>19</v>
      </c>
      <c r="D402" s="29">
        <f>H401</f>
        <v/>
      </c>
      <c r="E402" s="30">
        <f>MIN('Дашборд и Сводка'!$C$9, ROUNDUP(D402/'Дашборд и Сводка'!$C$6, 0)*0.01)</f>
        <v/>
      </c>
      <c r="F402" s="45">
        <f>'Дашборд и Сводка'!$C$7</f>
        <v/>
      </c>
      <c r="G402" s="29">
        <f>E402*F402*'Дашборд и Сводка'!$C$8</f>
        <v/>
      </c>
      <c r="H402" s="29">
        <f>D402+G402</f>
        <v/>
      </c>
    </row>
    <row r="403" ht="20" customHeight="1">
      <c r="A403" s="33" t="inlineStr">
        <is>
          <t>Декабрь</t>
        </is>
      </c>
      <c r="B403" s="33" t="n">
        <v>354</v>
      </c>
      <c r="C403" s="33" t="n">
        <v>20</v>
      </c>
      <c r="D403" s="34">
        <f>H402</f>
        <v/>
      </c>
      <c r="E403" s="35">
        <f>MIN('Дашборд и Сводка'!$C$9, ROUNDUP(D403/'Дашборд и Сводка'!$C$6, 0)*0.01)</f>
        <v/>
      </c>
      <c r="F403" s="46">
        <f>'Дашборд и Сводка'!$C$7</f>
        <v/>
      </c>
      <c r="G403" s="34">
        <f>E403*F403*'Дашборд и Сводка'!$C$8</f>
        <v/>
      </c>
      <c r="H403" s="34">
        <f>D403+G403</f>
        <v/>
      </c>
    </row>
    <row r="404" ht="20" customHeight="1">
      <c r="A404" s="28" t="inlineStr">
        <is>
          <t>Декабрь</t>
        </is>
      </c>
      <c r="B404" s="28" t="n">
        <v>355</v>
      </c>
      <c r="C404" s="28" t="n">
        <v>21</v>
      </c>
      <c r="D404" s="29">
        <f>H403</f>
        <v/>
      </c>
      <c r="E404" s="30">
        <f>MIN('Дашборд и Сводка'!$C$9, ROUNDUP(D404/'Дашборд и Сводка'!$C$6, 0)*0.01)</f>
        <v/>
      </c>
      <c r="F404" s="45">
        <f>'Дашборд и Сводка'!$C$7</f>
        <v/>
      </c>
      <c r="G404" s="29">
        <f>E404*F404*'Дашборд и Сводка'!$C$8</f>
        <v/>
      </c>
      <c r="H404" s="29">
        <f>D404+G404</f>
        <v/>
      </c>
    </row>
    <row r="405" ht="20" customHeight="1">
      <c r="A405" s="33" t="inlineStr">
        <is>
          <t>Декабрь</t>
        </is>
      </c>
      <c r="B405" s="33" t="n">
        <v>356</v>
      </c>
      <c r="C405" s="33" t="n">
        <v>22</v>
      </c>
      <c r="D405" s="34">
        <f>H404</f>
        <v/>
      </c>
      <c r="E405" s="35">
        <f>MIN('Дашборд и Сводка'!$C$9, ROUNDUP(D405/'Дашборд и Сводка'!$C$6, 0)*0.01)</f>
        <v/>
      </c>
      <c r="F405" s="46">
        <f>'Дашборд и Сводка'!$C$7</f>
        <v/>
      </c>
      <c r="G405" s="34">
        <f>E405*F405*'Дашборд и Сводка'!$C$8</f>
        <v/>
      </c>
      <c r="H405" s="34">
        <f>D405+G405</f>
        <v/>
      </c>
    </row>
    <row r="406" ht="20" customHeight="1">
      <c r="A406" s="28" t="inlineStr">
        <is>
          <t>Декабрь</t>
        </is>
      </c>
      <c r="B406" s="28" t="n">
        <v>357</v>
      </c>
      <c r="C406" s="28" t="n">
        <v>23</v>
      </c>
      <c r="D406" s="29">
        <f>H405</f>
        <v/>
      </c>
      <c r="E406" s="30">
        <f>MIN('Дашборд и Сводка'!$C$9, ROUNDUP(D406/'Дашборд и Сводка'!$C$6, 0)*0.01)</f>
        <v/>
      </c>
      <c r="F406" s="45">
        <f>'Дашборд и Сводка'!$C$7</f>
        <v/>
      </c>
      <c r="G406" s="29">
        <f>E406*F406*'Дашборд и Сводка'!$C$8</f>
        <v/>
      </c>
      <c r="H406" s="29">
        <f>D406+G406</f>
        <v/>
      </c>
    </row>
    <row r="407" ht="20" customHeight="1">
      <c r="A407" s="33" t="inlineStr">
        <is>
          <t>Декабрь</t>
        </is>
      </c>
      <c r="B407" s="33" t="n">
        <v>358</v>
      </c>
      <c r="C407" s="33" t="n">
        <v>24</v>
      </c>
      <c r="D407" s="34">
        <f>H406</f>
        <v/>
      </c>
      <c r="E407" s="35">
        <f>MIN('Дашборд и Сводка'!$C$9, ROUNDUP(D407/'Дашборд и Сводка'!$C$6, 0)*0.01)</f>
        <v/>
      </c>
      <c r="F407" s="46">
        <f>'Дашборд и Сводка'!$C$7</f>
        <v/>
      </c>
      <c r="G407" s="34">
        <f>E407*F407*'Дашборд и Сводка'!$C$8</f>
        <v/>
      </c>
      <c r="H407" s="34">
        <f>D407+G407</f>
        <v/>
      </c>
    </row>
    <row r="408" ht="20" customHeight="1">
      <c r="A408" s="28" t="inlineStr">
        <is>
          <t>Декабрь</t>
        </is>
      </c>
      <c r="B408" s="28" t="n">
        <v>359</v>
      </c>
      <c r="C408" s="28" t="n">
        <v>25</v>
      </c>
      <c r="D408" s="29">
        <f>H407</f>
        <v/>
      </c>
      <c r="E408" s="30">
        <f>MIN('Дашборд и Сводка'!$C$9, ROUNDUP(D408/'Дашборд и Сводка'!$C$6, 0)*0.01)</f>
        <v/>
      </c>
      <c r="F408" s="45">
        <f>'Дашборд и Сводка'!$C$7</f>
        <v/>
      </c>
      <c r="G408" s="29">
        <f>E408*F408*'Дашборд и Сводка'!$C$8</f>
        <v/>
      </c>
      <c r="H408" s="29">
        <f>D408+G408</f>
        <v/>
      </c>
    </row>
    <row r="409" ht="20" customHeight="1">
      <c r="A409" s="33" t="inlineStr">
        <is>
          <t>Декабрь</t>
        </is>
      </c>
      <c r="B409" s="33" t="n">
        <v>360</v>
      </c>
      <c r="C409" s="33" t="n">
        <v>26</v>
      </c>
      <c r="D409" s="34">
        <f>H408</f>
        <v/>
      </c>
      <c r="E409" s="35">
        <f>MIN('Дашборд и Сводка'!$C$9, ROUNDUP(D409/'Дашборд и Сводка'!$C$6, 0)*0.01)</f>
        <v/>
      </c>
      <c r="F409" s="46">
        <f>'Дашборд и Сводка'!$C$7</f>
        <v/>
      </c>
      <c r="G409" s="34">
        <f>E409*F409*'Дашборд и Сводка'!$C$8</f>
        <v/>
      </c>
      <c r="H409" s="34">
        <f>D409+G409</f>
        <v/>
      </c>
    </row>
    <row r="410" ht="20" customHeight="1">
      <c r="A410" s="28" t="inlineStr">
        <is>
          <t>Декабрь</t>
        </is>
      </c>
      <c r="B410" s="28" t="n">
        <v>361</v>
      </c>
      <c r="C410" s="28" t="n">
        <v>27</v>
      </c>
      <c r="D410" s="29">
        <f>H409</f>
        <v/>
      </c>
      <c r="E410" s="30">
        <f>MIN('Дашборд и Сводка'!$C$9, ROUNDUP(D410/'Дашборд и Сводка'!$C$6, 0)*0.01)</f>
        <v/>
      </c>
      <c r="F410" s="45">
        <f>'Дашборд и Сводка'!$C$7</f>
        <v/>
      </c>
      <c r="G410" s="29">
        <f>E410*F410*'Дашборд и Сводка'!$C$8</f>
        <v/>
      </c>
      <c r="H410" s="29">
        <f>D410+G410</f>
        <v/>
      </c>
    </row>
    <row r="411" ht="20" customHeight="1">
      <c r="A411" s="33" t="inlineStr">
        <is>
          <t>Декабрь</t>
        </is>
      </c>
      <c r="B411" s="33" t="n">
        <v>362</v>
      </c>
      <c r="C411" s="33" t="n">
        <v>28</v>
      </c>
      <c r="D411" s="34">
        <f>H410</f>
        <v/>
      </c>
      <c r="E411" s="35">
        <f>MIN('Дашборд и Сводка'!$C$9, ROUNDUP(D411/'Дашборд и Сводка'!$C$6, 0)*0.01)</f>
        <v/>
      </c>
      <c r="F411" s="46">
        <f>'Дашборд и Сводка'!$C$7</f>
        <v/>
      </c>
      <c r="G411" s="34">
        <f>E411*F411*'Дашборд и Сводка'!$C$8</f>
        <v/>
      </c>
      <c r="H411" s="34">
        <f>D411+G411</f>
        <v/>
      </c>
    </row>
    <row r="412" ht="20" customHeight="1">
      <c r="A412" s="28" t="inlineStr">
        <is>
          <t>Декабрь</t>
        </is>
      </c>
      <c r="B412" s="28" t="n">
        <v>363</v>
      </c>
      <c r="C412" s="28" t="n">
        <v>29</v>
      </c>
      <c r="D412" s="29">
        <f>H411</f>
        <v/>
      </c>
      <c r="E412" s="30">
        <f>MIN('Дашборд и Сводка'!$C$9, ROUNDUP(D412/'Дашборд и Сводка'!$C$6, 0)*0.01)</f>
        <v/>
      </c>
      <c r="F412" s="45">
        <f>'Дашборд и Сводка'!$C$7</f>
        <v/>
      </c>
      <c r="G412" s="29">
        <f>E412*F412*'Дашборд и Сводка'!$C$8</f>
        <v/>
      </c>
      <c r="H412" s="29">
        <f>D412+G412</f>
        <v/>
      </c>
    </row>
    <row r="413" ht="20" customHeight="1">
      <c r="A413" s="33" t="inlineStr">
        <is>
          <t>Декабрь</t>
        </is>
      </c>
      <c r="B413" s="33" t="n">
        <v>364</v>
      </c>
      <c r="C413" s="33" t="n">
        <v>30</v>
      </c>
      <c r="D413" s="34">
        <f>H412</f>
        <v/>
      </c>
      <c r="E413" s="35">
        <f>MIN('Дашборд и Сводка'!$C$9, ROUNDUP(D413/'Дашборд и Сводка'!$C$6, 0)*0.01)</f>
        <v/>
      </c>
      <c r="F413" s="46">
        <f>'Дашборд и Сводка'!$C$7</f>
        <v/>
      </c>
      <c r="G413" s="34">
        <f>E413*F413*'Дашборд и Сводка'!$C$8</f>
        <v/>
      </c>
      <c r="H413" s="34">
        <f>D413+G413</f>
        <v/>
      </c>
    </row>
    <row r="414" ht="20" customHeight="1">
      <c r="A414" s="28" t="inlineStr">
        <is>
          <t>Декабрь</t>
        </is>
      </c>
      <c r="B414" s="28" t="n">
        <v>365</v>
      </c>
      <c r="C414" s="28" t="n">
        <v>31</v>
      </c>
      <c r="D414" s="29">
        <f>H413</f>
        <v/>
      </c>
      <c r="E414" s="30">
        <f>MIN('Дашборд и Сводка'!$C$9, ROUNDUP(D414/'Дашборд и Сводка'!$C$6, 0)*0.01)</f>
        <v/>
      </c>
      <c r="F414" s="45">
        <f>'Дашборд и Сводка'!$C$7</f>
        <v/>
      </c>
      <c r="G414" s="29">
        <f>E414*F414*'Дашборд и Сводка'!$C$8</f>
        <v/>
      </c>
      <c r="H414" s="29">
        <f>D414+G414</f>
        <v/>
      </c>
    </row>
    <row r="415" ht="24" customHeight="1">
      <c r="A415" s="56" t="inlineStr">
        <is>
          <t>ИТОГО ЗА ДЕКАБРЬ:</t>
        </is>
      </c>
      <c r="B415" s="48" t="n"/>
      <c r="C415" s="48" t="n"/>
      <c r="D415" s="57">
        <f>D384</f>
        <v/>
      </c>
      <c r="E415" s="58">
        <f>MAX(E384:E414)</f>
        <v/>
      </c>
      <c r="F415" s="59">
        <f>'Дашборд и Сводка'!$C$7</f>
        <v/>
      </c>
      <c r="G415" s="60">
        <f>SUM(G384:G414)</f>
        <v/>
      </c>
      <c r="H415" s="61">
        <f>H414</f>
        <v/>
      </c>
    </row>
  </sheetData>
  <mergeCells count="26">
    <mergeCell ref="A39:H39"/>
    <mergeCell ref="A277:C277"/>
    <mergeCell ref="A37:C37"/>
    <mergeCell ref="A279:H279"/>
    <mergeCell ref="A1:H1"/>
    <mergeCell ref="A242:C242"/>
    <mergeCell ref="A104:C104"/>
    <mergeCell ref="A415:C415"/>
    <mergeCell ref="A311:C311"/>
    <mergeCell ref="A380:C380"/>
    <mergeCell ref="A2:H2"/>
    <mergeCell ref="A71:H71"/>
    <mergeCell ref="A313:H313"/>
    <mergeCell ref="A173:C173"/>
    <mergeCell ref="A175:H175"/>
    <mergeCell ref="A244:H244"/>
    <mergeCell ref="A4:H4"/>
    <mergeCell ref="A106:H106"/>
    <mergeCell ref="A140:H140"/>
    <mergeCell ref="A138:C138"/>
    <mergeCell ref="A207:C207"/>
    <mergeCell ref="A209:H209"/>
    <mergeCell ref="A382:H382"/>
    <mergeCell ref="A346:C346"/>
    <mergeCell ref="A69:C69"/>
    <mergeCell ref="A348:H3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2026-08-23T20:09:03Z</dcterms:created>
  <dcterms:modified xsi:type="dcterms:W3CDTF">2026-08-23T20:09:05Z</dcterms:modified>
</cp:coreProperties>
</file>